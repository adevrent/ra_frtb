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vr\riskactive_main\FRTB\From_Sait\Prepayment Analysis\"/>
    </mc:Choice>
  </mc:AlternateContent>
  <xr:revisionPtr revIDLastSave="0" documentId="13_ncr:1_{7BCF178F-8782-49F0-8B7F-88119291B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12" i="1"/>
  <c r="K3" i="1"/>
  <c r="K4" i="1"/>
  <c r="K5" i="1"/>
  <c r="K6" i="1"/>
  <c r="K7" i="1"/>
  <c r="K8" i="1"/>
  <c r="K9" i="1"/>
  <c r="K10" i="1"/>
  <c r="K11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J2" i="1"/>
  <c r="I2" i="1"/>
  <c r="A5" i="1"/>
  <c r="A7" i="1" s="1"/>
  <c r="A9" i="1" s="1"/>
  <c r="A11" i="1" s="1"/>
  <c r="A15" i="1" s="1"/>
  <c r="A17" i="1" s="1"/>
  <c r="A19" i="1" s="1"/>
  <c r="A21" i="1" s="1"/>
  <c r="A4" i="1"/>
  <c r="A6" i="1" s="1"/>
  <c r="A8" i="1" s="1"/>
  <c r="A10" i="1" s="1"/>
  <c r="A14" i="1" s="1"/>
  <c r="A16" i="1" s="1"/>
  <c r="A18" i="1" s="1"/>
  <c r="A20" i="1" s="1"/>
</calcChain>
</file>

<file path=xl/sharedStrings.xml><?xml version="1.0" encoding="utf-8"?>
<sst xmlns="http://schemas.openxmlformats.org/spreadsheetml/2006/main" count="73" uniqueCount="19">
  <si>
    <t>REPORT_DATE</t>
  </si>
  <si>
    <t>BRANCH</t>
  </si>
  <si>
    <t>CUSTOMER_NO</t>
  </si>
  <si>
    <t>CUSTOMER_EX_NO</t>
  </si>
  <si>
    <t>NOTIONAL</t>
  </si>
  <si>
    <t>CURRENCY</t>
  </si>
  <si>
    <t>USD</t>
  </si>
  <si>
    <t>GL_CODE_LONG</t>
  </si>
  <si>
    <t>PRODUCT_CODE</t>
  </si>
  <si>
    <t>TRY</t>
  </si>
  <si>
    <t>INTEREST_RATE</t>
  </si>
  <si>
    <t>OPENING_DATE</t>
  </si>
  <si>
    <t>MATURITY</t>
  </si>
  <si>
    <t>CUSTOMER_ID</t>
  </si>
  <si>
    <t>EFFECTIVE_DATE</t>
  </si>
  <si>
    <t>Taksitli.Ticari.Kredi</t>
  </si>
  <si>
    <t>İhtiyac.Kredisi</t>
  </si>
  <si>
    <t>4444//123456//9001//Taksitli.Ticari.Kredi</t>
  </si>
  <si>
    <t>4444//123456//9001//İhtiyac.Kredisi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</si>
</sst>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dd/mm/yyyy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tabSelected="1" zoomScale="90" zoomScaleNormal="90" workbookViewId="0">
      <selection activeCell="K27" sqref="K27"/>
    </sheetView>
  </sheetViews>
  <sheetFormatPr defaultRowHeight="15" x14ac:dyDescent="0.25"/>
  <cols>
    <col min="1" max="1" width="18.7109375" bestFit="1" customWidth="1"/>
    <col min="2" max="2" width="13.5703125" bestFit="1" customWidth="1"/>
    <col min="3" max="3" width="20" bestFit="1" customWidth="1"/>
    <col min="4" max="4" width="23.140625" bestFit="1" customWidth="1"/>
    <col min="5" max="5" width="15.42578125" bestFit="1" customWidth="1"/>
    <col min="6" max="6" width="15.5703125" bestFit="1" customWidth="1"/>
    <col min="7" max="7" width="19.7109375" bestFit="1" customWidth="1"/>
    <col min="8" max="8" width="20.28515625" bestFit="1" customWidth="1"/>
    <col min="9" max="9" width="20" bestFit="1" customWidth="1"/>
    <col min="10" max="10" width="20.5703125" bestFit="1" customWidth="1"/>
    <col min="11" max="11" width="15.42578125" bestFit="1" customWidth="1"/>
    <col min="12" max="12" width="22.42578125" bestFit="1" customWidth="1"/>
    <col min="13" max="13" width="43.7109375" bestFit="1" customWidth="1"/>
  </cols>
  <sheetData>
    <row r="1" spans="1:13" s="2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</v>
      </c>
      <c r="H1" s="6" t="s">
        <v>7</v>
      </c>
      <c r="I1" s="6" t="s">
        <v>11</v>
      </c>
      <c r="J1" s="6" t="s">
        <v>14</v>
      </c>
      <c r="K1" s="6" t="s">
        <v>12</v>
      </c>
      <c r="L1" s="6" t="s">
        <v>8</v>
      </c>
      <c r="M1" s="7" t="s">
        <v>13</v>
      </c>
    </row>
    <row r="2" spans="1:13" s="2" customFormat="1" x14ac:dyDescent="0.25">
      <c r="A2" s="8">
        <v>45901</v>
      </c>
      <c r="B2" s="9">
        <v>4444</v>
      </c>
      <c r="C2" s="9">
        <v>123456</v>
      </c>
      <c r="D2" s="9">
        <v>9001</v>
      </c>
      <c r="E2" s="10">
        <v>1000000</v>
      </c>
      <c r="F2" s="9" t="s">
        <v>6</v>
      </c>
      <c r="G2" s="9">
        <v>3.5</v>
      </c>
      <c r="H2" s="9">
        <v>140302</v>
      </c>
      <c r="I2" s="11">
        <f>PREPAYMENT!$A2</f>
        <v>45901</v>
      </c>
      <c r="J2" s="11">
        <f>PREPAYMENT!$A2</f>
        <v>45901</v>
      </c>
      <c r="K2" s="11">
        <f>J2+90</f>
        <v>45991</v>
      </c>
      <c r="L2" s="9" t="s">
        <v>15</v>
      </c>
      <c r="M2" s="4" t="s">
        <v>17</v>
      </c>
    </row>
    <row r="3" spans="1:13" x14ac:dyDescent="0.25">
      <c r="A3" s="12">
        <v>45901</v>
      </c>
      <c r="B3" s="13">
        <v>4444</v>
      </c>
      <c r="C3" s="13">
        <v>123456</v>
      </c>
      <c r="D3" s="13">
        <v>9001</v>
      </c>
      <c r="E3" s="14">
        <v>1000000</v>
      </c>
      <c r="F3" s="13" t="s">
        <v>9</v>
      </c>
      <c r="G3" s="13">
        <v>47</v>
      </c>
      <c r="H3" s="13">
        <v>118202</v>
      </c>
      <c r="I3" s="11">
        <f>PREPAYMENT!$A3</f>
        <v>45901</v>
      </c>
      <c r="J3" s="11">
        <f>PREPAYMENT!$A3</f>
        <v>45901</v>
      </c>
      <c r="K3" s="11">
        <f t="shared" ref="K3:K11" si="0">J3+90</f>
        <v>45991</v>
      </c>
      <c r="L3" s="13" t="s">
        <v>16</v>
      </c>
      <c r="M3" s="15" t="s">
        <v>18</v>
      </c>
    </row>
    <row r="4" spans="1:13" s="2" customFormat="1" x14ac:dyDescent="0.25">
      <c r="A4" s="1">
        <f>A2+1</f>
        <v>45902</v>
      </c>
      <c r="B4" s="2">
        <v>4444</v>
      </c>
      <c r="C4" s="2">
        <v>123456</v>
      </c>
      <c r="D4" s="2">
        <v>9001</v>
      </c>
      <c r="E4" s="3">
        <v>1000000</v>
      </c>
      <c r="F4" s="2" t="s">
        <v>6</v>
      </c>
      <c r="G4" s="2">
        <v>3.5</v>
      </c>
      <c r="H4" s="2">
        <v>140302</v>
      </c>
      <c r="I4" s="11">
        <f>PREPAYMENT!$A4</f>
        <v>45902</v>
      </c>
      <c r="J4" s="11">
        <f>PREPAYMENT!$A4</f>
        <v>45902</v>
      </c>
      <c r="K4" s="11">
        <f t="shared" si="0"/>
        <v>45992</v>
      </c>
      <c r="L4" s="2" t="s">
        <v>15</v>
      </c>
      <c r="M4" s="4" t="s">
        <v>17</v>
      </c>
    </row>
    <row r="5" spans="1:13" x14ac:dyDescent="0.25">
      <c r="A5" s="1">
        <f>A3+1</f>
        <v>45902</v>
      </c>
      <c r="B5" s="2">
        <v>4444</v>
      </c>
      <c r="C5" s="2">
        <v>123456</v>
      </c>
      <c r="D5" s="2">
        <v>9001</v>
      </c>
      <c r="E5" s="3">
        <v>1000000</v>
      </c>
      <c r="F5" s="2" t="s">
        <v>9</v>
      </c>
      <c r="G5" s="2">
        <v>47</v>
      </c>
      <c r="H5" s="2">
        <v>118202</v>
      </c>
      <c r="I5" s="11">
        <f>PREPAYMENT!$A5</f>
        <v>45902</v>
      </c>
      <c r="J5" s="11">
        <f>PREPAYMENT!$A5</f>
        <v>45902</v>
      </c>
      <c r="K5" s="11">
        <f t="shared" si="0"/>
        <v>45992</v>
      </c>
      <c r="L5" s="2" t="s">
        <v>16</v>
      </c>
      <c r="M5" s="2" t="s">
        <v>18</v>
      </c>
    </row>
    <row r="6" spans="1:13" s="2" customFormat="1" x14ac:dyDescent="0.25">
      <c r="A6" s="1">
        <f t="shared" ref="A6:A21" si="1">A4+1</f>
        <v>45903</v>
      </c>
      <c r="B6" s="2">
        <v>4444</v>
      </c>
      <c r="C6" s="2">
        <v>123456</v>
      </c>
      <c r="D6" s="2">
        <v>9001</v>
      </c>
      <c r="E6" s="3">
        <v>1000000</v>
      </c>
      <c r="F6" s="2" t="s">
        <v>6</v>
      </c>
      <c r="G6" s="2">
        <v>3.5</v>
      </c>
      <c r="H6" s="2">
        <v>140302</v>
      </c>
      <c r="I6" s="11">
        <f>PREPAYMENT!$A6</f>
        <v>45903</v>
      </c>
      <c r="J6" s="11">
        <f>PREPAYMENT!$A6</f>
        <v>45903</v>
      </c>
      <c r="K6" s="11">
        <f t="shared" si="0"/>
        <v>45993</v>
      </c>
      <c r="L6" s="2" t="s">
        <v>15</v>
      </c>
      <c r="M6" s="4" t="s">
        <v>17</v>
      </c>
    </row>
    <row r="7" spans="1:13" x14ac:dyDescent="0.25">
      <c r="A7" s="1">
        <f t="shared" si="1"/>
        <v>45903</v>
      </c>
      <c r="B7" s="2">
        <v>4444</v>
      </c>
      <c r="C7" s="2">
        <v>123456</v>
      </c>
      <c r="D7" s="2">
        <v>9001</v>
      </c>
      <c r="E7" s="3">
        <v>1000000</v>
      </c>
      <c r="F7" s="2" t="s">
        <v>9</v>
      </c>
      <c r="G7" s="2">
        <v>47</v>
      </c>
      <c r="H7" s="2">
        <v>118202</v>
      </c>
      <c r="I7" s="11">
        <f>PREPAYMENT!$A7</f>
        <v>45903</v>
      </c>
      <c r="J7" s="11">
        <f>PREPAYMENT!$A7</f>
        <v>45903</v>
      </c>
      <c r="K7" s="11">
        <f t="shared" si="0"/>
        <v>45993</v>
      </c>
      <c r="L7" s="2" t="s">
        <v>16</v>
      </c>
      <c r="M7" s="2" t="s">
        <v>18</v>
      </c>
    </row>
    <row r="8" spans="1:13" s="2" customFormat="1" x14ac:dyDescent="0.25">
      <c r="A8" s="1">
        <f t="shared" si="1"/>
        <v>45904</v>
      </c>
      <c r="B8" s="2">
        <v>4444</v>
      </c>
      <c r="C8" s="2">
        <v>123456</v>
      </c>
      <c r="D8" s="2">
        <v>9001</v>
      </c>
      <c r="E8" s="3">
        <v>1000000</v>
      </c>
      <c r="F8" s="2" t="s">
        <v>6</v>
      </c>
      <c r="G8" s="2">
        <v>3.5</v>
      </c>
      <c r="H8" s="2">
        <v>140302</v>
      </c>
      <c r="I8" s="11">
        <f>PREPAYMENT!$A8</f>
        <v>45904</v>
      </c>
      <c r="J8" s="11">
        <f>PREPAYMENT!$A8</f>
        <v>45904</v>
      </c>
      <c r="K8" s="11">
        <f t="shared" si="0"/>
        <v>45994</v>
      </c>
      <c r="L8" s="2" t="s">
        <v>15</v>
      </c>
      <c r="M8" s="4" t="s">
        <v>17</v>
      </c>
    </row>
    <row r="9" spans="1:13" x14ac:dyDescent="0.25">
      <c r="A9" s="1">
        <f t="shared" si="1"/>
        <v>45904</v>
      </c>
      <c r="B9" s="2">
        <v>4444</v>
      </c>
      <c r="C9" s="2">
        <v>123456</v>
      </c>
      <c r="D9" s="2">
        <v>9001</v>
      </c>
      <c r="E9" s="3">
        <v>1000000</v>
      </c>
      <c r="F9" s="2" t="s">
        <v>9</v>
      </c>
      <c r="G9" s="2">
        <v>47</v>
      </c>
      <c r="H9" s="2">
        <v>118202</v>
      </c>
      <c r="I9" s="11">
        <f>PREPAYMENT!$A9</f>
        <v>45904</v>
      </c>
      <c r="J9" s="11">
        <f>PREPAYMENT!$A9</f>
        <v>45904</v>
      </c>
      <c r="K9" s="11">
        <f t="shared" si="0"/>
        <v>45994</v>
      </c>
      <c r="L9" s="2" t="s">
        <v>16</v>
      </c>
      <c r="M9" s="2" t="s">
        <v>18</v>
      </c>
    </row>
    <row r="10" spans="1:13" s="2" customFormat="1" x14ac:dyDescent="0.25">
      <c r="A10" s="1">
        <f t="shared" si="1"/>
        <v>45905</v>
      </c>
      <c r="B10" s="2">
        <v>4444</v>
      </c>
      <c r="C10" s="2">
        <v>123456</v>
      </c>
      <c r="D10" s="2">
        <v>9001</v>
      </c>
      <c r="E10" s="3">
        <v>1000000</v>
      </c>
      <c r="F10" s="2" t="s">
        <v>6</v>
      </c>
      <c r="G10" s="2">
        <v>3.5</v>
      </c>
      <c r="H10" s="2">
        <v>140302</v>
      </c>
      <c r="I10" s="11">
        <f>PREPAYMENT!$A10</f>
        <v>45905</v>
      </c>
      <c r="J10" s="11">
        <f>PREPAYMENT!$A10</f>
        <v>45905</v>
      </c>
      <c r="K10" s="11">
        <f t="shared" si="0"/>
        <v>45995</v>
      </c>
      <c r="L10" s="2" t="s">
        <v>15</v>
      </c>
      <c r="M10" s="4" t="s">
        <v>17</v>
      </c>
    </row>
    <row r="11" spans="1:13" x14ac:dyDescent="0.25">
      <c r="A11" s="1">
        <f t="shared" si="1"/>
        <v>45905</v>
      </c>
      <c r="B11" s="2">
        <v>4444</v>
      </c>
      <c r="C11" s="2">
        <v>123456</v>
      </c>
      <c r="D11" s="2">
        <v>9001</v>
      </c>
      <c r="E11" s="3">
        <v>1000000</v>
      </c>
      <c r="F11" s="2" t="s">
        <v>9</v>
      </c>
      <c r="G11" s="2">
        <v>47</v>
      </c>
      <c r="H11" s="2">
        <v>118202</v>
      </c>
      <c r="I11" s="11">
        <f>PREPAYMENT!$A11</f>
        <v>45905</v>
      </c>
      <c r="J11" s="11">
        <f>PREPAYMENT!$A11</f>
        <v>45905</v>
      </c>
      <c r="K11" s="11">
        <f t="shared" si="0"/>
        <v>45995</v>
      </c>
      <c r="L11" s="2" t="s">
        <v>16</v>
      </c>
      <c r="M11" s="2" t="s">
        <v>18</v>
      </c>
    </row>
    <row r="12" spans="1:13" s="2" customFormat="1" x14ac:dyDescent="0.25">
      <c r="A12" s="1">
        <v>45908</v>
      </c>
      <c r="B12" s="2">
        <v>4444</v>
      </c>
      <c r="C12" s="2">
        <v>123456</v>
      </c>
      <c r="D12" s="2">
        <v>9001</v>
      </c>
      <c r="E12" s="3">
        <v>1000000</v>
      </c>
      <c r="F12" s="2" t="s">
        <v>6</v>
      </c>
      <c r="G12" s="2">
        <v>3.5</v>
      </c>
      <c r="H12" s="2">
        <v>140302</v>
      </c>
      <c r="I12" s="11">
        <f>PREPAYMENT!$A12</f>
        <v>45908</v>
      </c>
      <c r="J12" s="11">
        <f>PREPAYMENT!$A12</f>
        <v>45908</v>
      </c>
      <c r="K12" s="11">
        <f>J12+180</f>
        <v>46088</v>
      </c>
      <c r="L12" s="2" t="s">
        <v>15</v>
      </c>
      <c r="M12" s="4" t="s">
        <v>17</v>
      </c>
    </row>
    <row r="13" spans="1:13" x14ac:dyDescent="0.25">
      <c r="A13" s="1">
        <v>45908</v>
      </c>
      <c r="B13" s="2">
        <v>4444</v>
      </c>
      <c r="C13" s="2">
        <v>123456</v>
      </c>
      <c r="D13" s="2">
        <v>9001</v>
      </c>
      <c r="E13" s="3">
        <v>1000000</v>
      </c>
      <c r="F13" s="2" t="s">
        <v>9</v>
      </c>
      <c r="G13" s="2">
        <v>47</v>
      </c>
      <c r="H13" s="2">
        <v>118202</v>
      </c>
      <c r="I13" s="11">
        <f>PREPAYMENT!$A13</f>
        <v>45908</v>
      </c>
      <c r="J13" s="11">
        <f>PREPAYMENT!$A13</f>
        <v>45908</v>
      </c>
      <c r="K13" s="11">
        <f t="shared" ref="K13:K21" si="2">J13+180</f>
        <v>46088</v>
      </c>
      <c r="L13" s="2" t="s">
        <v>16</v>
      </c>
      <c r="M13" s="2" t="s">
        <v>18</v>
      </c>
    </row>
    <row r="14" spans="1:13" s="2" customFormat="1" x14ac:dyDescent="0.25">
      <c r="A14" s="1">
        <f t="shared" si="1"/>
        <v>45909</v>
      </c>
      <c r="B14" s="2">
        <v>4444</v>
      </c>
      <c r="C14" s="2">
        <v>123456</v>
      </c>
      <c r="D14" s="2">
        <v>9001</v>
      </c>
      <c r="E14" s="3">
        <v>1000000</v>
      </c>
      <c r="F14" s="2" t="s">
        <v>6</v>
      </c>
      <c r="G14" s="2">
        <v>3.5</v>
      </c>
      <c r="H14" s="2">
        <v>140302</v>
      </c>
      <c r="I14" s="11">
        <f>PREPAYMENT!$A14</f>
        <v>45909</v>
      </c>
      <c r="J14" s="11">
        <f>PREPAYMENT!$A14</f>
        <v>45909</v>
      </c>
      <c r="K14" s="11">
        <f t="shared" si="2"/>
        <v>46089</v>
      </c>
      <c r="L14" s="2" t="s">
        <v>15</v>
      </c>
      <c r="M14" s="4" t="s">
        <v>17</v>
      </c>
    </row>
    <row r="15" spans="1:13" x14ac:dyDescent="0.25">
      <c r="A15" s="1">
        <f t="shared" si="1"/>
        <v>45909</v>
      </c>
      <c r="B15" s="2">
        <v>4444</v>
      </c>
      <c r="C15" s="2">
        <v>123456</v>
      </c>
      <c r="D15" s="2">
        <v>9001</v>
      </c>
      <c r="E15" s="3">
        <v>1000000</v>
      </c>
      <c r="F15" s="2" t="s">
        <v>9</v>
      </c>
      <c r="G15" s="2">
        <v>47</v>
      </c>
      <c r="H15" s="2">
        <v>118202</v>
      </c>
      <c r="I15" s="11">
        <f>PREPAYMENT!$A15</f>
        <v>45909</v>
      </c>
      <c r="J15" s="11">
        <f>PREPAYMENT!$A15</f>
        <v>45909</v>
      </c>
      <c r="K15" s="11">
        <f t="shared" si="2"/>
        <v>46089</v>
      </c>
      <c r="L15" s="2" t="s">
        <v>16</v>
      </c>
      <c r="M15" s="2" t="s">
        <v>18</v>
      </c>
    </row>
    <row r="16" spans="1:13" s="2" customFormat="1" x14ac:dyDescent="0.25">
      <c r="A16" s="1">
        <f t="shared" si="1"/>
        <v>45910</v>
      </c>
      <c r="B16" s="2">
        <v>4444</v>
      </c>
      <c r="C16" s="2">
        <v>123456</v>
      </c>
      <c r="D16" s="2">
        <v>9001</v>
      </c>
      <c r="E16" s="3">
        <v>1000000</v>
      </c>
      <c r="F16" s="2" t="s">
        <v>6</v>
      </c>
      <c r="G16" s="2">
        <v>3.5</v>
      </c>
      <c r="H16" s="2">
        <v>140302</v>
      </c>
      <c r="I16" s="11">
        <f>PREPAYMENT!$A16</f>
        <v>45910</v>
      </c>
      <c r="J16" s="11">
        <f>PREPAYMENT!$A16</f>
        <v>45910</v>
      </c>
      <c r="K16" s="11">
        <f t="shared" si="2"/>
        <v>46090</v>
      </c>
      <c r="L16" s="2" t="s">
        <v>15</v>
      </c>
      <c r="M16" s="4" t="s">
        <v>17</v>
      </c>
    </row>
    <row r="17" spans="1:13" x14ac:dyDescent="0.25">
      <c r="A17" s="1">
        <f t="shared" si="1"/>
        <v>45910</v>
      </c>
      <c r="B17" s="2">
        <v>4444</v>
      </c>
      <c r="C17" s="2">
        <v>123456</v>
      </c>
      <c r="D17" s="2">
        <v>9001</v>
      </c>
      <c r="E17" s="3">
        <v>1000000</v>
      </c>
      <c r="F17" s="2" t="s">
        <v>9</v>
      </c>
      <c r="G17" s="2">
        <v>47</v>
      </c>
      <c r="H17" s="2">
        <v>118202</v>
      </c>
      <c r="I17" s="11">
        <f>PREPAYMENT!$A17</f>
        <v>45910</v>
      </c>
      <c r="J17" s="11">
        <f>PREPAYMENT!$A17</f>
        <v>45910</v>
      </c>
      <c r="K17" s="11">
        <f t="shared" si="2"/>
        <v>46090</v>
      </c>
      <c r="L17" s="2" t="s">
        <v>16</v>
      </c>
      <c r="M17" s="2" t="s">
        <v>18</v>
      </c>
    </row>
    <row r="18" spans="1:13" x14ac:dyDescent="0.25">
      <c r="A18" s="1">
        <f t="shared" si="1"/>
        <v>45911</v>
      </c>
      <c r="B18" s="2">
        <v>4444</v>
      </c>
      <c r="C18" s="2">
        <v>123456</v>
      </c>
      <c r="D18" s="2">
        <v>9001</v>
      </c>
      <c r="E18" s="3">
        <v>1000000</v>
      </c>
      <c r="F18" s="2" t="s">
        <v>6</v>
      </c>
      <c r="G18" s="2">
        <v>90.5</v>
      </c>
      <c r="H18" s="2">
        <v>96102</v>
      </c>
      <c r="I18" s="11">
        <f>PREPAYMENT!$A18</f>
        <v>45911</v>
      </c>
      <c r="J18" s="11">
        <f>PREPAYMENT!$A18</f>
        <v>45911</v>
      </c>
      <c r="K18" s="11">
        <f t="shared" si="2"/>
        <v>46091</v>
      </c>
      <c r="L18" s="2" t="s">
        <v>15</v>
      </c>
      <c r="M18" s="4" t="s">
        <v>17</v>
      </c>
    </row>
    <row r="19" spans="1:13" x14ac:dyDescent="0.25">
      <c r="A19" s="1">
        <f t="shared" si="1"/>
        <v>45911</v>
      </c>
      <c r="B19" s="2">
        <v>4444</v>
      </c>
      <c r="C19" s="2">
        <v>123456</v>
      </c>
      <c r="D19" s="2">
        <v>9001</v>
      </c>
      <c r="E19" s="3">
        <v>1000000</v>
      </c>
      <c r="F19" s="2" t="s">
        <v>9</v>
      </c>
      <c r="G19" s="2">
        <v>134</v>
      </c>
      <c r="H19" s="2">
        <v>74002</v>
      </c>
      <c r="I19" s="11">
        <f>PREPAYMENT!$A19</f>
        <v>45911</v>
      </c>
      <c r="J19" s="11">
        <f>PREPAYMENT!$A19</f>
        <v>45911</v>
      </c>
      <c r="K19" s="11">
        <f t="shared" si="2"/>
        <v>46091</v>
      </c>
      <c r="L19" s="2" t="s">
        <v>16</v>
      </c>
      <c r="M19" s="2" t="s">
        <v>18</v>
      </c>
    </row>
    <row r="20" spans="1:13" x14ac:dyDescent="0.25">
      <c r="A20" s="1">
        <f t="shared" si="1"/>
        <v>45912</v>
      </c>
      <c r="B20" s="2">
        <v>4444</v>
      </c>
      <c r="C20" s="2">
        <v>123456</v>
      </c>
      <c r="D20" s="2">
        <v>9001</v>
      </c>
      <c r="E20" s="3">
        <v>1000000</v>
      </c>
      <c r="F20" s="2" t="s">
        <v>6</v>
      </c>
      <c r="G20" s="2">
        <v>177.5</v>
      </c>
      <c r="H20" s="2">
        <v>51902</v>
      </c>
      <c r="I20" s="11">
        <f>PREPAYMENT!$A20</f>
        <v>45912</v>
      </c>
      <c r="J20" s="11">
        <f>PREPAYMENT!$A20</f>
        <v>45912</v>
      </c>
      <c r="K20" s="11">
        <f t="shared" si="2"/>
        <v>46092</v>
      </c>
      <c r="L20" s="2" t="s">
        <v>15</v>
      </c>
      <c r="M20" s="4" t="s">
        <v>17</v>
      </c>
    </row>
    <row r="21" spans="1:13" x14ac:dyDescent="0.25">
      <c r="A21" s="1">
        <f t="shared" si="1"/>
        <v>45912</v>
      </c>
      <c r="B21" s="2">
        <v>4444</v>
      </c>
      <c r="C21" s="2">
        <v>123456</v>
      </c>
      <c r="D21" s="2">
        <v>9001</v>
      </c>
      <c r="E21" s="3">
        <v>1000000</v>
      </c>
      <c r="F21" s="2" t="s">
        <v>9</v>
      </c>
      <c r="G21" s="2">
        <v>221</v>
      </c>
      <c r="H21" s="2">
        <v>29802</v>
      </c>
      <c r="I21" s="11">
        <f>PREPAYMENT!$A21</f>
        <v>45912</v>
      </c>
      <c r="J21" s="11">
        <f>PREPAYMENT!$A21</f>
        <v>45912</v>
      </c>
      <c r="K21" s="11">
        <f t="shared" si="2"/>
        <v>46092</v>
      </c>
      <c r="L21" s="2" t="s">
        <v>16</v>
      </c>
      <c r="M2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atakan asd</cp:lastModifiedBy>
  <dcterms:created xsi:type="dcterms:W3CDTF">2025-09-08T07:04:57Z</dcterms:created>
  <dcterms:modified xsi:type="dcterms:W3CDTF">2025-09-10T10:47:30Z</dcterms:modified>
</cp:coreProperties>
</file>