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evr\riskactive_main\FRTB\From_Sait\Early Withdrawal Analysis\"/>
    </mc:Choice>
  </mc:AlternateContent>
  <xr:revisionPtr revIDLastSave="0" documentId="13_ncr:1_{0C70A1AD-C79F-4A46-9493-E16A90EBCA2B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CORE_DEPOS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1" l="1"/>
  <c r="A12" i="1" s="1"/>
  <c r="A11" i="1"/>
  <c r="A13" i="1"/>
  <c r="A15" i="1" s="1"/>
  <c r="A17" i="1" s="1"/>
  <c r="A19" i="1" s="1"/>
  <c r="K10" i="1"/>
  <c r="J11" i="1"/>
  <c r="K11" i="1" s="1"/>
  <c r="J10" i="1"/>
  <c r="I10" i="1"/>
  <c r="A6" i="1"/>
  <c r="A7" i="1"/>
  <c r="A8" i="1"/>
  <c r="A9" i="1"/>
  <c r="J9" i="1" s="1"/>
  <c r="K9" i="1" s="1"/>
  <c r="J7" i="1"/>
  <c r="K7" i="1" s="1"/>
  <c r="K6" i="1"/>
  <c r="J6" i="1"/>
  <c r="I6" i="1"/>
  <c r="K3" i="1"/>
  <c r="K4" i="1"/>
  <c r="K5" i="1"/>
  <c r="J3" i="1"/>
  <c r="J4" i="1"/>
  <c r="J5" i="1"/>
  <c r="K2" i="1"/>
  <c r="J2" i="1"/>
  <c r="I2" i="1"/>
  <c r="A5" i="1"/>
  <c r="A4" i="1"/>
  <c r="A21" i="1" l="1"/>
  <c r="A23" i="1" s="1"/>
  <c r="A25" i="1" s="1"/>
  <c r="A27" i="1" s="1"/>
  <c r="J19" i="1"/>
  <c r="K19" i="1" s="1"/>
  <c r="J12" i="1"/>
  <c r="K12" i="1" s="1"/>
  <c r="A14" i="1"/>
  <c r="A16" i="1" s="1"/>
  <c r="A18" i="1" s="1"/>
  <c r="J25" i="1"/>
  <c r="K25" i="1" s="1"/>
  <c r="J23" i="1"/>
  <c r="K23" i="1" s="1"/>
  <c r="J21" i="1"/>
  <c r="K21" i="1" s="1"/>
  <c r="J15" i="1"/>
  <c r="K15" i="1" s="1"/>
  <c r="J17" i="1"/>
  <c r="K17" i="1" s="1"/>
  <c r="J13" i="1"/>
  <c r="K13" i="1" s="1"/>
  <c r="J8" i="1"/>
  <c r="K8" i="1" s="1"/>
  <c r="A20" i="1" l="1"/>
  <c r="J18" i="1"/>
  <c r="K18" i="1" s="1"/>
  <c r="I18" i="1"/>
  <c r="J27" i="1"/>
  <c r="K27" i="1" s="1"/>
  <c r="A29" i="1"/>
  <c r="J14" i="1"/>
  <c r="K14" i="1" s="1"/>
  <c r="I14" i="1"/>
  <c r="J16" i="1"/>
  <c r="K16" i="1" s="1"/>
  <c r="A31" i="1" l="1"/>
  <c r="J29" i="1"/>
  <c r="K29" i="1" s="1"/>
  <c r="A22" i="1"/>
  <c r="J20" i="1"/>
  <c r="K20" i="1" s="1"/>
  <c r="A24" i="1" l="1"/>
  <c r="J22" i="1"/>
  <c r="K22" i="1" s="1"/>
  <c r="I22" i="1"/>
  <c r="A33" i="1"/>
  <c r="J33" i="1" s="1"/>
  <c r="K33" i="1" s="1"/>
  <c r="J31" i="1"/>
  <c r="K31" i="1" s="1"/>
  <c r="A26" i="1" l="1"/>
  <c r="J24" i="1"/>
  <c r="K24" i="1" s="1"/>
  <c r="I26" i="1" l="1"/>
  <c r="A28" i="1"/>
  <c r="J26" i="1"/>
  <c r="K26" i="1" s="1"/>
  <c r="J28" i="1" l="1"/>
  <c r="K28" i="1" s="1"/>
  <c r="A30" i="1"/>
  <c r="A32" i="1" l="1"/>
  <c r="J32" i="1" s="1"/>
  <c r="K32" i="1" s="1"/>
  <c r="I30" i="1"/>
  <c r="J30" i="1"/>
  <c r="K30" i="1" s="1"/>
</calcChain>
</file>

<file path=xl/sharedStrings.xml><?xml version="1.0" encoding="utf-8"?>
<sst xmlns="http://schemas.openxmlformats.org/spreadsheetml/2006/main" count="109" uniqueCount="19">
  <si>
    <t>REPORT_DATE</t>
  </si>
  <si>
    <t>BRANCH</t>
  </si>
  <si>
    <t>CUSTOMER_NO</t>
  </si>
  <si>
    <t>CUSTOMER_EX_NO</t>
  </si>
  <si>
    <t>NOTIONAL</t>
  </si>
  <si>
    <t>CURRENCY</t>
  </si>
  <si>
    <t>USD</t>
  </si>
  <si>
    <t>GL_CODE_LONG</t>
  </si>
  <si>
    <t>PRODUCT_CODE</t>
  </si>
  <si>
    <t>TRY</t>
  </si>
  <si>
    <t>INTEREST_RATE</t>
  </si>
  <si>
    <t>OPENING_DATE</t>
  </si>
  <si>
    <t>MATURITY</t>
  </si>
  <si>
    <t>Vadeli.Mevduat.Tasarruf</t>
  </si>
  <si>
    <t>Vadeli.Mevduat.Ticari</t>
  </si>
  <si>
    <t>CUSTOMER_ID</t>
  </si>
  <si>
    <t>EFFECTIVE_DATE</t>
  </si>
  <si>
    <t>4444//123456//9001//Vadeli.Mevduat.Tasarruf</t>
  </si>
  <si>
    <t>4444//123456//9001//Vadeli.Mevduat.Ticari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</si>
</sst>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dd/mm/yyyy"/>
  </numFmts>
  <fonts count="3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1" applyFon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4" xfId="1" applyFon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showGridLines="0" tabSelected="1" zoomScale="90" zoomScaleNormal="90" workbookViewId="0">
      <selection activeCell="J5" sqref="J5"/>
    </sheetView>
  </sheetViews>
  <sheetFormatPr defaultRowHeight="15" x14ac:dyDescent="0.25"/>
  <cols>
    <col min="1" max="1" width="18.7109375" bestFit="1" customWidth="1"/>
    <col min="2" max="2" width="13.5703125" bestFit="1" customWidth="1"/>
    <col min="3" max="3" width="20" bestFit="1" customWidth="1"/>
    <col min="4" max="4" width="23.140625" bestFit="1" customWidth="1"/>
    <col min="5" max="5" width="15.42578125" bestFit="1" customWidth="1"/>
    <col min="6" max="6" width="15.5703125" bestFit="1" customWidth="1"/>
    <col min="7" max="7" width="19.7109375" bestFit="1" customWidth="1"/>
    <col min="8" max="8" width="20.28515625" bestFit="1" customWidth="1"/>
    <col min="9" max="9" width="20" bestFit="1" customWidth="1"/>
    <col min="10" max="10" width="20.5703125" bestFit="1" customWidth="1"/>
    <col min="11" max="11" width="15.42578125" bestFit="1" customWidth="1"/>
    <col min="12" max="12" width="22.42578125" bestFit="1" customWidth="1"/>
    <col min="13" max="13" width="43.7109375" bestFit="1" customWidth="1"/>
  </cols>
  <sheetData>
    <row r="1" spans="1:13" s="1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10</v>
      </c>
      <c r="H1" s="3" t="s">
        <v>7</v>
      </c>
      <c r="I1" s="3" t="s">
        <v>11</v>
      </c>
      <c r="J1" s="3" t="s">
        <v>16</v>
      </c>
      <c r="K1" s="3" t="s">
        <v>12</v>
      </c>
      <c r="L1" s="3" t="s">
        <v>8</v>
      </c>
      <c r="M1" s="4" t="s">
        <v>15</v>
      </c>
    </row>
    <row r="2" spans="1:13" s="1" customFormat="1" x14ac:dyDescent="0.25">
      <c r="A2" s="5">
        <v>45901</v>
      </c>
      <c r="B2" s="6">
        <v>4444</v>
      </c>
      <c r="C2" s="6">
        <v>123456</v>
      </c>
      <c r="D2" s="6">
        <v>9001</v>
      </c>
      <c r="E2" s="7">
        <v>1000000</v>
      </c>
      <c r="F2" s="6" t="s">
        <v>6</v>
      </c>
      <c r="G2" s="6">
        <v>3.5</v>
      </c>
      <c r="H2" s="6">
        <v>311001</v>
      </c>
      <c r="I2" s="8">
        <f>A2</f>
        <v>45901</v>
      </c>
      <c r="J2" s="8">
        <f>A2</f>
        <v>45901</v>
      </c>
      <c r="K2" s="8">
        <f>J2+90</f>
        <v>45991</v>
      </c>
      <c r="L2" s="6" t="s">
        <v>13</v>
      </c>
      <c r="M2" s="9" t="s">
        <v>17</v>
      </c>
    </row>
    <row r="3" spans="1:13" x14ac:dyDescent="0.25">
      <c r="A3" s="5">
        <v>45901</v>
      </c>
      <c r="B3" s="10">
        <v>4444</v>
      </c>
      <c r="C3" s="10">
        <v>123456</v>
      </c>
      <c r="D3" s="10">
        <v>9001</v>
      </c>
      <c r="E3" s="11">
        <v>1000000</v>
      </c>
      <c r="F3" s="10" t="s">
        <v>9</v>
      </c>
      <c r="G3" s="10">
        <v>47</v>
      </c>
      <c r="H3" s="10">
        <v>310030</v>
      </c>
      <c r="I3" s="12">
        <v>45908</v>
      </c>
      <c r="J3" s="8">
        <f t="shared" ref="J3:J5" si="0">A3</f>
        <v>45901</v>
      </c>
      <c r="K3" s="8">
        <f t="shared" ref="K3:K9" si="1">J3+90</f>
        <v>45991</v>
      </c>
      <c r="L3" s="10" t="s">
        <v>14</v>
      </c>
      <c r="M3" s="13" t="s">
        <v>18</v>
      </c>
    </row>
    <row r="4" spans="1:13" s="1" customFormat="1" x14ac:dyDescent="0.25">
      <c r="A4" s="5">
        <f>A2+1</f>
        <v>45902</v>
      </c>
      <c r="B4" s="6">
        <v>4444</v>
      </c>
      <c r="C4" s="6">
        <v>123456</v>
      </c>
      <c r="D4" s="6">
        <v>9001</v>
      </c>
      <c r="E4" s="7">
        <v>1000000</v>
      </c>
      <c r="F4" s="6" t="s">
        <v>6</v>
      </c>
      <c r="G4" s="6">
        <v>3.5</v>
      </c>
      <c r="H4" s="6">
        <v>311001</v>
      </c>
      <c r="I4" s="8">
        <v>45908</v>
      </c>
      <c r="J4" s="8">
        <f t="shared" si="0"/>
        <v>45902</v>
      </c>
      <c r="K4" s="8">
        <f t="shared" si="1"/>
        <v>45992</v>
      </c>
      <c r="L4" s="6" t="s">
        <v>13</v>
      </c>
      <c r="M4" s="9" t="s">
        <v>17</v>
      </c>
    </row>
    <row r="5" spans="1:13" x14ac:dyDescent="0.25">
      <c r="A5" s="5">
        <f>A3+1</f>
        <v>45902</v>
      </c>
      <c r="B5" s="10">
        <v>4444</v>
      </c>
      <c r="C5" s="10">
        <v>123456</v>
      </c>
      <c r="D5" s="10">
        <v>9001</v>
      </c>
      <c r="E5" s="11">
        <v>1000000</v>
      </c>
      <c r="F5" s="10" t="s">
        <v>9</v>
      </c>
      <c r="G5" s="10">
        <v>47</v>
      </c>
      <c r="H5" s="10">
        <v>310030</v>
      </c>
      <c r="I5" s="12">
        <v>45908</v>
      </c>
      <c r="J5" s="8">
        <f t="shared" si="0"/>
        <v>45902</v>
      </c>
      <c r="K5" s="8">
        <f t="shared" si="1"/>
        <v>45992</v>
      </c>
      <c r="L5" s="10" t="s">
        <v>14</v>
      </c>
      <c r="M5" s="13" t="s">
        <v>18</v>
      </c>
    </row>
    <row r="6" spans="1:13" s="1" customFormat="1" x14ac:dyDescent="0.25">
      <c r="A6" s="5">
        <f t="shared" ref="A6:A33" si="2">A4+1</f>
        <v>45903</v>
      </c>
      <c r="B6" s="6">
        <v>4444</v>
      </c>
      <c r="C6" s="6">
        <v>123456</v>
      </c>
      <c r="D6" s="6">
        <v>9001</v>
      </c>
      <c r="E6" s="7">
        <v>1000000</v>
      </c>
      <c r="F6" s="6" t="s">
        <v>6</v>
      </c>
      <c r="G6" s="6">
        <v>3.5</v>
      </c>
      <c r="H6" s="6">
        <v>311001</v>
      </c>
      <c r="I6" s="8">
        <f>A6</f>
        <v>45903</v>
      </c>
      <c r="J6" s="8">
        <f>A6</f>
        <v>45903</v>
      </c>
      <c r="K6" s="8">
        <f>J6+90</f>
        <v>45993</v>
      </c>
      <c r="L6" s="6" t="s">
        <v>13</v>
      </c>
      <c r="M6" s="9" t="s">
        <v>17</v>
      </c>
    </row>
    <row r="7" spans="1:13" x14ac:dyDescent="0.25">
      <c r="A7" s="5">
        <f t="shared" si="2"/>
        <v>45903</v>
      </c>
      <c r="B7" s="10">
        <v>4444</v>
      </c>
      <c r="C7" s="10">
        <v>123456</v>
      </c>
      <c r="D7" s="10">
        <v>9001</v>
      </c>
      <c r="E7" s="11">
        <v>1000000</v>
      </c>
      <c r="F7" s="10" t="s">
        <v>9</v>
      </c>
      <c r="G7" s="10">
        <v>47</v>
      </c>
      <c r="H7" s="10">
        <v>310030</v>
      </c>
      <c r="I7" s="12">
        <v>45908</v>
      </c>
      <c r="J7" s="8">
        <f t="shared" ref="J7:J9" si="3">A7</f>
        <v>45903</v>
      </c>
      <c r="K7" s="8">
        <f t="shared" si="1"/>
        <v>45993</v>
      </c>
      <c r="L7" s="10" t="s">
        <v>14</v>
      </c>
      <c r="M7" s="13" t="s">
        <v>18</v>
      </c>
    </row>
    <row r="8" spans="1:13" s="1" customFormat="1" x14ac:dyDescent="0.25">
      <c r="A8" s="5">
        <f t="shared" si="2"/>
        <v>45904</v>
      </c>
      <c r="B8" s="6">
        <v>4444</v>
      </c>
      <c r="C8" s="6">
        <v>123456</v>
      </c>
      <c r="D8" s="6">
        <v>9001</v>
      </c>
      <c r="E8" s="7">
        <v>1000000</v>
      </c>
      <c r="F8" s="6" t="s">
        <v>6</v>
      </c>
      <c r="G8" s="6">
        <v>3.5</v>
      </c>
      <c r="H8" s="6">
        <v>311001</v>
      </c>
      <c r="I8" s="8">
        <v>45908</v>
      </c>
      <c r="J8" s="8">
        <f t="shared" si="3"/>
        <v>45904</v>
      </c>
      <c r="K8" s="8">
        <f t="shared" si="1"/>
        <v>45994</v>
      </c>
      <c r="L8" s="6" t="s">
        <v>13</v>
      </c>
      <c r="M8" s="9" t="s">
        <v>17</v>
      </c>
    </row>
    <row r="9" spans="1:13" x14ac:dyDescent="0.25">
      <c r="A9" s="5">
        <f t="shared" si="2"/>
        <v>45904</v>
      </c>
      <c r="B9" s="10">
        <v>4444</v>
      </c>
      <c r="C9" s="10">
        <v>123456</v>
      </c>
      <c r="D9" s="10">
        <v>9001</v>
      </c>
      <c r="E9" s="11">
        <v>1000000</v>
      </c>
      <c r="F9" s="10" t="s">
        <v>9</v>
      </c>
      <c r="G9" s="10">
        <v>47</v>
      </c>
      <c r="H9" s="10">
        <v>310030</v>
      </c>
      <c r="I9" s="12">
        <v>45908</v>
      </c>
      <c r="J9" s="8">
        <f t="shared" si="3"/>
        <v>45904</v>
      </c>
      <c r="K9" s="8">
        <f t="shared" si="1"/>
        <v>45994</v>
      </c>
      <c r="L9" s="10" t="s">
        <v>14</v>
      </c>
      <c r="M9" s="13" t="s">
        <v>18</v>
      </c>
    </row>
    <row r="10" spans="1:13" s="1" customFormat="1" x14ac:dyDescent="0.25">
      <c r="A10" s="5">
        <f t="shared" si="2"/>
        <v>45905</v>
      </c>
      <c r="B10" s="6">
        <v>4444</v>
      </c>
      <c r="C10" s="6">
        <v>123456</v>
      </c>
      <c r="D10" s="6">
        <v>9001</v>
      </c>
      <c r="E10" s="7">
        <v>1000000</v>
      </c>
      <c r="F10" s="6" t="s">
        <v>6</v>
      </c>
      <c r="G10" s="6">
        <v>3.5</v>
      </c>
      <c r="H10" s="6">
        <v>311001</v>
      </c>
      <c r="I10" s="8">
        <f>A10</f>
        <v>45905</v>
      </c>
      <c r="J10" s="8">
        <f>A10</f>
        <v>45905</v>
      </c>
      <c r="K10" s="8">
        <f>J10+180</f>
        <v>46085</v>
      </c>
      <c r="L10" s="6" t="s">
        <v>13</v>
      </c>
      <c r="M10" s="9" t="s">
        <v>17</v>
      </c>
    </row>
    <row r="11" spans="1:13" x14ac:dyDescent="0.25">
      <c r="A11" s="5">
        <f t="shared" si="2"/>
        <v>45905</v>
      </c>
      <c r="B11" s="10">
        <v>4444</v>
      </c>
      <c r="C11" s="10">
        <v>123456</v>
      </c>
      <c r="D11" s="10">
        <v>9001</v>
      </c>
      <c r="E11" s="11">
        <v>1000000</v>
      </c>
      <c r="F11" s="10" t="s">
        <v>9</v>
      </c>
      <c r="G11" s="10">
        <v>47</v>
      </c>
      <c r="H11" s="10">
        <v>310030</v>
      </c>
      <c r="I11" s="12">
        <v>45908</v>
      </c>
      <c r="J11" s="8">
        <f t="shared" ref="J11:J13" si="4">A11</f>
        <v>45905</v>
      </c>
      <c r="K11" s="8">
        <f t="shared" ref="K11:K17" si="5">J11+180</f>
        <v>46085</v>
      </c>
      <c r="L11" s="10" t="s">
        <v>14</v>
      </c>
      <c r="M11" s="13" t="s">
        <v>18</v>
      </c>
    </row>
    <row r="12" spans="1:13" s="1" customFormat="1" x14ac:dyDescent="0.25">
      <c r="A12" s="5">
        <f t="shared" si="2"/>
        <v>45906</v>
      </c>
      <c r="B12" s="6">
        <v>4444</v>
      </c>
      <c r="C12" s="6">
        <v>123456</v>
      </c>
      <c r="D12" s="6">
        <v>9001</v>
      </c>
      <c r="E12" s="7">
        <v>1000000</v>
      </c>
      <c r="F12" s="6" t="s">
        <v>6</v>
      </c>
      <c r="G12" s="6">
        <v>3.5</v>
      </c>
      <c r="H12" s="6">
        <v>311001</v>
      </c>
      <c r="I12" s="8">
        <v>45908</v>
      </c>
      <c r="J12" s="8">
        <f t="shared" si="4"/>
        <v>45906</v>
      </c>
      <c r="K12" s="8">
        <f t="shared" si="5"/>
        <v>46086</v>
      </c>
      <c r="L12" s="6" t="s">
        <v>13</v>
      </c>
      <c r="M12" s="9" t="s">
        <v>17</v>
      </c>
    </row>
    <row r="13" spans="1:13" x14ac:dyDescent="0.25">
      <c r="A13" s="5">
        <f t="shared" si="2"/>
        <v>45906</v>
      </c>
      <c r="B13" s="10">
        <v>4444</v>
      </c>
      <c r="C13" s="10">
        <v>123456</v>
      </c>
      <c r="D13" s="10">
        <v>9001</v>
      </c>
      <c r="E13" s="11">
        <v>1000000</v>
      </c>
      <c r="F13" s="10" t="s">
        <v>9</v>
      </c>
      <c r="G13" s="10">
        <v>47</v>
      </c>
      <c r="H13" s="10">
        <v>310030</v>
      </c>
      <c r="I13" s="12">
        <v>45908</v>
      </c>
      <c r="J13" s="8">
        <f t="shared" si="4"/>
        <v>45906</v>
      </c>
      <c r="K13" s="8">
        <f t="shared" si="5"/>
        <v>46086</v>
      </c>
      <c r="L13" s="10" t="s">
        <v>14</v>
      </c>
      <c r="M13" s="13" t="s">
        <v>18</v>
      </c>
    </row>
    <row r="14" spans="1:13" s="1" customFormat="1" x14ac:dyDescent="0.25">
      <c r="A14" s="5">
        <f t="shared" si="2"/>
        <v>45907</v>
      </c>
      <c r="B14" s="6">
        <v>4444</v>
      </c>
      <c r="C14" s="6">
        <v>123456</v>
      </c>
      <c r="D14" s="6">
        <v>9001</v>
      </c>
      <c r="E14" s="7">
        <v>1000000</v>
      </c>
      <c r="F14" s="6" t="s">
        <v>6</v>
      </c>
      <c r="G14" s="6">
        <v>3.5</v>
      </c>
      <c r="H14" s="6">
        <v>311001</v>
      </c>
      <c r="I14" s="8">
        <f>A14</f>
        <v>45907</v>
      </c>
      <c r="J14" s="8">
        <f>A14</f>
        <v>45907</v>
      </c>
      <c r="K14" s="8">
        <f t="shared" si="5"/>
        <v>46087</v>
      </c>
      <c r="L14" s="6" t="s">
        <v>13</v>
      </c>
      <c r="M14" s="9" t="s">
        <v>17</v>
      </c>
    </row>
    <row r="15" spans="1:13" x14ac:dyDescent="0.25">
      <c r="A15" s="5">
        <f t="shared" si="2"/>
        <v>45907</v>
      </c>
      <c r="B15" s="10">
        <v>4444</v>
      </c>
      <c r="C15" s="10">
        <v>123456</v>
      </c>
      <c r="D15" s="10">
        <v>9001</v>
      </c>
      <c r="E15" s="11">
        <v>1000000</v>
      </c>
      <c r="F15" s="10" t="s">
        <v>9</v>
      </c>
      <c r="G15" s="10">
        <v>47</v>
      </c>
      <c r="H15" s="10">
        <v>310030</v>
      </c>
      <c r="I15" s="12">
        <v>45908</v>
      </c>
      <c r="J15" s="8">
        <f t="shared" ref="J15:J17" si="6">A15</f>
        <v>45907</v>
      </c>
      <c r="K15" s="8">
        <f t="shared" si="5"/>
        <v>46087</v>
      </c>
      <c r="L15" s="10" t="s">
        <v>14</v>
      </c>
      <c r="M15" s="13" t="s">
        <v>18</v>
      </c>
    </row>
    <row r="16" spans="1:13" s="1" customFormat="1" x14ac:dyDescent="0.25">
      <c r="A16" s="5">
        <f t="shared" si="2"/>
        <v>45908</v>
      </c>
      <c r="B16" s="6">
        <v>4444</v>
      </c>
      <c r="C16" s="6">
        <v>123456</v>
      </c>
      <c r="D16" s="6">
        <v>9001</v>
      </c>
      <c r="E16" s="7">
        <v>1000000</v>
      </c>
      <c r="F16" s="6" t="s">
        <v>6</v>
      </c>
      <c r="G16" s="6">
        <v>3.5</v>
      </c>
      <c r="H16" s="6">
        <v>311001</v>
      </c>
      <c r="I16" s="8">
        <v>45908</v>
      </c>
      <c r="J16" s="8">
        <f t="shared" si="6"/>
        <v>45908</v>
      </c>
      <c r="K16" s="8">
        <f t="shared" si="5"/>
        <v>46088</v>
      </c>
      <c r="L16" s="6" t="s">
        <v>13</v>
      </c>
      <c r="M16" s="9" t="s">
        <v>17</v>
      </c>
    </row>
    <row r="17" spans="1:13" x14ac:dyDescent="0.25">
      <c r="A17" s="5">
        <f t="shared" si="2"/>
        <v>45908</v>
      </c>
      <c r="B17" s="10">
        <v>4444</v>
      </c>
      <c r="C17" s="10">
        <v>123456</v>
      </c>
      <c r="D17" s="10">
        <v>9001</v>
      </c>
      <c r="E17" s="11">
        <v>1000000</v>
      </c>
      <c r="F17" s="10" t="s">
        <v>9</v>
      </c>
      <c r="G17" s="10">
        <v>47</v>
      </c>
      <c r="H17" s="10">
        <v>310030</v>
      </c>
      <c r="I17" s="12">
        <v>45908</v>
      </c>
      <c r="J17" s="8">
        <f t="shared" si="6"/>
        <v>45908</v>
      </c>
      <c r="K17" s="8">
        <f t="shared" si="5"/>
        <v>46088</v>
      </c>
      <c r="L17" s="10" t="s">
        <v>14</v>
      </c>
      <c r="M17" s="13" t="s">
        <v>18</v>
      </c>
    </row>
    <row r="18" spans="1:13" s="1" customFormat="1" x14ac:dyDescent="0.25">
      <c r="A18" s="5">
        <f t="shared" si="2"/>
        <v>45909</v>
      </c>
      <c r="B18" s="6">
        <v>4444</v>
      </c>
      <c r="C18" s="6">
        <v>123456</v>
      </c>
      <c r="D18" s="6">
        <v>9001</v>
      </c>
      <c r="E18" s="7">
        <v>1000000</v>
      </c>
      <c r="F18" s="6" t="s">
        <v>6</v>
      </c>
      <c r="G18" s="6">
        <v>3.5</v>
      </c>
      <c r="H18" s="6">
        <v>311001</v>
      </c>
      <c r="I18" s="8">
        <f>A18</f>
        <v>45909</v>
      </c>
      <c r="J18" s="8">
        <f>A18</f>
        <v>45909</v>
      </c>
      <c r="K18" s="8">
        <f>J18+360</f>
        <v>46269</v>
      </c>
      <c r="L18" s="6" t="s">
        <v>13</v>
      </c>
      <c r="M18" s="9" t="s">
        <v>17</v>
      </c>
    </row>
    <row r="19" spans="1:13" x14ac:dyDescent="0.25">
      <c r="A19" s="5">
        <f t="shared" si="2"/>
        <v>45909</v>
      </c>
      <c r="B19" s="10">
        <v>4444</v>
      </c>
      <c r="C19" s="10">
        <v>123456</v>
      </c>
      <c r="D19" s="10">
        <v>9001</v>
      </c>
      <c r="E19" s="11">
        <v>1000000</v>
      </c>
      <c r="F19" s="10" t="s">
        <v>9</v>
      </c>
      <c r="G19" s="10">
        <v>47</v>
      </c>
      <c r="H19" s="10">
        <v>310030</v>
      </c>
      <c r="I19" s="12">
        <v>45908</v>
      </c>
      <c r="J19" s="8">
        <f t="shared" ref="J19:J21" si="7">A19</f>
        <v>45909</v>
      </c>
      <c r="K19" s="8">
        <f t="shared" ref="K19:K33" si="8">J19+360</f>
        <v>46269</v>
      </c>
      <c r="L19" s="10" t="s">
        <v>14</v>
      </c>
      <c r="M19" s="13" t="s">
        <v>18</v>
      </c>
    </row>
    <row r="20" spans="1:13" s="1" customFormat="1" x14ac:dyDescent="0.25">
      <c r="A20" s="5">
        <f t="shared" si="2"/>
        <v>45910</v>
      </c>
      <c r="B20" s="6">
        <v>4444</v>
      </c>
      <c r="C20" s="6">
        <v>123456</v>
      </c>
      <c r="D20" s="6">
        <v>9001</v>
      </c>
      <c r="E20" s="7">
        <v>1000000</v>
      </c>
      <c r="F20" s="6" t="s">
        <v>6</v>
      </c>
      <c r="G20" s="6">
        <v>3.5</v>
      </c>
      <c r="H20" s="6">
        <v>311001</v>
      </c>
      <c r="I20" s="8">
        <v>45908</v>
      </c>
      <c r="J20" s="8">
        <f t="shared" si="7"/>
        <v>45910</v>
      </c>
      <c r="K20" s="8">
        <f t="shared" si="8"/>
        <v>46270</v>
      </c>
      <c r="L20" s="6" t="s">
        <v>13</v>
      </c>
      <c r="M20" s="9" t="s">
        <v>17</v>
      </c>
    </row>
    <row r="21" spans="1:13" x14ac:dyDescent="0.25">
      <c r="A21" s="5">
        <f t="shared" si="2"/>
        <v>45910</v>
      </c>
      <c r="B21" s="10">
        <v>4444</v>
      </c>
      <c r="C21" s="10">
        <v>123456</v>
      </c>
      <c r="D21" s="10">
        <v>9001</v>
      </c>
      <c r="E21" s="11">
        <v>1000000</v>
      </c>
      <c r="F21" s="10" t="s">
        <v>9</v>
      </c>
      <c r="G21" s="10">
        <v>47</v>
      </c>
      <c r="H21" s="10">
        <v>310030</v>
      </c>
      <c r="I21" s="12">
        <v>45908</v>
      </c>
      <c r="J21" s="8">
        <f t="shared" si="7"/>
        <v>45910</v>
      </c>
      <c r="K21" s="8">
        <f t="shared" si="8"/>
        <v>46270</v>
      </c>
      <c r="L21" s="10" t="s">
        <v>14</v>
      </c>
      <c r="M21" s="13" t="s">
        <v>18</v>
      </c>
    </row>
    <row r="22" spans="1:13" s="1" customFormat="1" x14ac:dyDescent="0.25">
      <c r="A22" s="5">
        <f t="shared" si="2"/>
        <v>45911</v>
      </c>
      <c r="B22" s="6">
        <v>4444</v>
      </c>
      <c r="C22" s="6">
        <v>123456</v>
      </c>
      <c r="D22" s="6">
        <v>9001</v>
      </c>
      <c r="E22" s="7">
        <v>1000000</v>
      </c>
      <c r="F22" s="6" t="s">
        <v>6</v>
      </c>
      <c r="G22" s="6">
        <v>3.5</v>
      </c>
      <c r="H22" s="6">
        <v>311001</v>
      </c>
      <c r="I22" s="8">
        <f>A22</f>
        <v>45911</v>
      </c>
      <c r="J22" s="8">
        <f>A22</f>
        <v>45911</v>
      </c>
      <c r="K22" s="8">
        <f t="shared" si="8"/>
        <v>46271</v>
      </c>
      <c r="L22" s="6" t="s">
        <v>13</v>
      </c>
      <c r="M22" s="9" t="s">
        <v>17</v>
      </c>
    </row>
    <row r="23" spans="1:13" x14ac:dyDescent="0.25">
      <c r="A23" s="5">
        <f t="shared" si="2"/>
        <v>45911</v>
      </c>
      <c r="B23" s="10">
        <v>4444</v>
      </c>
      <c r="C23" s="10">
        <v>123456</v>
      </c>
      <c r="D23" s="10">
        <v>9001</v>
      </c>
      <c r="E23" s="11">
        <v>1000000</v>
      </c>
      <c r="F23" s="10" t="s">
        <v>9</v>
      </c>
      <c r="G23" s="10">
        <v>47</v>
      </c>
      <c r="H23" s="10">
        <v>310030</v>
      </c>
      <c r="I23" s="12">
        <v>45908</v>
      </c>
      <c r="J23" s="8">
        <f t="shared" ref="J23:J25" si="9">A23</f>
        <v>45911</v>
      </c>
      <c r="K23" s="8">
        <f t="shared" si="8"/>
        <v>46271</v>
      </c>
      <c r="L23" s="10" t="s">
        <v>14</v>
      </c>
      <c r="M23" s="13" t="s">
        <v>18</v>
      </c>
    </row>
    <row r="24" spans="1:13" s="1" customFormat="1" x14ac:dyDescent="0.25">
      <c r="A24" s="5">
        <f t="shared" si="2"/>
        <v>45912</v>
      </c>
      <c r="B24" s="6">
        <v>4444</v>
      </c>
      <c r="C24" s="6">
        <v>123456</v>
      </c>
      <c r="D24" s="6">
        <v>9001</v>
      </c>
      <c r="E24" s="7">
        <v>1000000</v>
      </c>
      <c r="F24" s="6" t="s">
        <v>6</v>
      </c>
      <c r="G24" s="6">
        <v>3.5</v>
      </c>
      <c r="H24" s="6">
        <v>311001</v>
      </c>
      <c r="I24" s="8">
        <v>45908</v>
      </c>
      <c r="J24" s="8">
        <f t="shared" si="9"/>
        <v>45912</v>
      </c>
      <c r="K24" s="8">
        <f t="shared" si="8"/>
        <v>46272</v>
      </c>
      <c r="L24" s="6" t="s">
        <v>13</v>
      </c>
      <c r="M24" s="9" t="s">
        <v>17</v>
      </c>
    </row>
    <row r="25" spans="1:13" x14ac:dyDescent="0.25">
      <c r="A25" s="5">
        <f t="shared" si="2"/>
        <v>45912</v>
      </c>
      <c r="B25" s="10">
        <v>4444</v>
      </c>
      <c r="C25" s="10">
        <v>123456</v>
      </c>
      <c r="D25" s="10">
        <v>9001</v>
      </c>
      <c r="E25" s="11">
        <v>1000000</v>
      </c>
      <c r="F25" s="10" t="s">
        <v>9</v>
      </c>
      <c r="G25" s="10">
        <v>47</v>
      </c>
      <c r="H25" s="10">
        <v>310030</v>
      </c>
      <c r="I25" s="12">
        <v>45908</v>
      </c>
      <c r="J25" s="8">
        <f t="shared" si="9"/>
        <v>45912</v>
      </c>
      <c r="K25" s="8">
        <f t="shared" si="8"/>
        <v>46272</v>
      </c>
      <c r="L25" s="10" t="s">
        <v>14</v>
      </c>
      <c r="M25" s="13" t="s">
        <v>18</v>
      </c>
    </row>
    <row r="26" spans="1:13" s="1" customFormat="1" x14ac:dyDescent="0.25">
      <c r="A26" s="5">
        <f t="shared" si="2"/>
        <v>45913</v>
      </c>
      <c r="B26" s="6">
        <v>4444</v>
      </c>
      <c r="C26" s="6">
        <v>123456</v>
      </c>
      <c r="D26" s="6">
        <v>9001</v>
      </c>
      <c r="E26" s="7">
        <v>1000000</v>
      </c>
      <c r="F26" s="6" t="s">
        <v>6</v>
      </c>
      <c r="G26" s="6">
        <v>3.5</v>
      </c>
      <c r="H26" s="6">
        <v>311001</v>
      </c>
      <c r="I26" s="8">
        <f>A26</f>
        <v>45913</v>
      </c>
      <c r="J26" s="8">
        <f>A26</f>
        <v>45913</v>
      </c>
      <c r="K26" s="8">
        <f t="shared" si="8"/>
        <v>46273</v>
      </c>
      <c r="L26" s="6" t="s">
        <v>13</v>
      </c>
      <c r="M26" s="9" t="s">
        <v>17</v>
      </c>
    </row>
    <row r="27" spans="1:13" x14ac:dyDescent="0.25">
      <c r="A27" s="5">
        <f t="shared" si="2"/>
        <v>45913</v>
      </c>
      <c r="B27" s="10">
        <v>4444</v>
      </c>
      <c r="C27" s="10">
        <v>123456</v>
      </c>
      <c r="D27" s="10">
        <v>9001</v>
      </c>
      <c r="E27" s="11">
        <v>1000000</v>
      </c>
      <c r="F27" s="10" t="s">
        <v>9</v>
      </c>
      <c r="G27" s="10">
        <v>47</v>
      </c>
      <c r="H27" s="10">
        <v>310030</v>
      </c>
      <c r="I27" s="12">
        <v>45908</v>
      </c>
      <c r="J27" s="8">
        <f t="shared" ref="J27:J29" si="10">A27</f>
        <v>45913</v>
      </c>
      <c r="K27" s="8">
        <f t="shared" si="8"/>
        <v>46273</v>
      </c>
      <c r="L27" s="10" t="s">
        <v>14</v>
      </c>
      <c r="M27" s="13" t="s">
        <v>18</v>
      </c>
    </row>
    <row r="28" spans="1:13" s="1" customFormat="1" x14ac:dyDescent="0.25">
      <c r="A28" s="5">
        <f t="shared" si="2"/>
        <v>45914</v>
      </c>
      <c r="B28" s="6">
        <v>4444</v>
      </c>
      <c r="C28" s="6">
        <v>123456</v>
      </c>
      <c r="D28" s="6">
        <v>9001</v>
      </c>
      <c r="E28" s="7">
        <v>1000000</v>
      </c>
      <c r="F28" s="6" t="s">
        <v>6</v>
      </c>
      <c r="G28" s="6">
        <v>3.5</v>
      </c>
      <c r="H28" s="6">
        <v>311001</v>
      </c>
      <c r="I28" s="8">
        <v>45908</v>
      </c>
      <c r="J28" s="8">
        <f t="shared" si="10"/>
        <v>45914</v>
      </c>
      <c r="K28" s="8">
        <f t="shared" si="8"/>
        <v>46274</v>
      </c>
      <c r="L28" s="6" t="s">
        <v>13</v>
      </c>
      <c r="M28" s="9" t="s">
        <v>17</v>
      </c>
    </row>
    <row r="29" spans="1:13" x14ac:dyDescent="0.25">
      <c r="A29" s="5">
        <f t="shared" si="2"/>
        <v>45914</v>
      </c>
      <c r="B29" s="10">
        <v>4444</v>
      </c>
      <c r="C29" s="10">
        <v>123456</v>
      </c>
      <c r="D29" s="10">
        <v>9001</v>
      </c>
      <c r="E29" s="11">
        <v>1000000</v>
      </c>
      <c r="F29" s="10" t="s">
        <v>9</v>
      </c>
      <c r="G29" s="10">
        <v>47</v>
      </c>
      <c r="H29" s="10">
        <v>310030</v>
      </c>
      <c r="I29" s="12">
        <v>45908</v>
      </c>
      <c r="J29" s="8">
        <f t="shared" si="10"/>
        <v>45914</v>
      </c>
      <c r="K29" s="8">
        <f t="shared" si="8"/>
        <v>46274</v>
      </c>
      <c r="L29" s="10" t="s">
        <v>14</v>
      </c>
      <c r="M29" s="13" t="s">
        <v>18</v>
      </c>
    </row>
    <row r="30" spans="1:13" s="1" customFormat="1" x14ac:dyDescent="0.25">
      <c r="A30" s="5">
        <f t="shared" si="2"/>
        <v>45915</v>
      </c>
      <c r="B30" s="6">
        <v>4444</v>
      </c>
      <c r="C30" s="6">
        <v>123456</v>
      </c>
      <c r="D30" s="6">
        <v>9001</v>
      </c>
      <c r="E30" s="7">
        <v>1000000</v>
      </c>
      <c r="F30" s="6" t="s">
        <v>6</v>
      </c>
      <c r="G30" s="6">
        <v>3.5</v>
      </c>
      <c r="H30" s="6">
        <v>311001</v>
      </c>
      <c r="I30" s="8">
        <f>A30</f>
        <v>45915</v>
      </c>
      <c r="J30" s="8">
        <f>A30</f>
        <v>45915</v>
      </c>
      <c r="K30" s="8">
        <f t="shared" si="8"/>
        <v>46275</v>
      </c>
      <c r="L30" s="6" t="s">
        <v>13</v>
      </c>
      <c r="M30" s="9" t="s">
        <v>17</v>
      </c>
    </row>
    <row r="31" spans="1:13" x14ac:dyDescent="0.25">
      <c r="A31" s="5">
        <f t="shared" si="2"/>
        <v>45915</v>
      </c>
      <c r="B31" s="10">
        <v>4444</v>
      </c>
      <c r="C31" s="10">
        <v>123456</v>
      </c>
      <c r="D31" s="10">
        <v>9001</v>
      </c>
      <c r="E31" s="11">
        <v>1000000</v>
      </c>
      <c r="F31" s="10" t="s">
        <v>9</v>
      </c>
      <c r="G31" s="10">
        <v>47</v>
      </c>
      <c r="H31" s="10">
        <v>310030</v>
      </c>
      <c r="I31" s="12">
        <v>45908</v>
      </c>
      <c r="J31" s="8">
        <f t="shared" ref="J31:J33" si="11">A31</f>
        <v>45915</v>
      </c>
      <c r="K31" s="8">
        <f t="shared" si="8"/>
        <v>46275</v>
      </c>
      <c r="L31" s="10" t="s">
        <v>14</v>
      </c>
      <c r="M31" s="13" t="s">
        <v>18</v>
      </c>
    </row>
    <row r="32" spans="1:13" s="1" customFormat="1" x14ac:dyDescent="0.25">
      <c r="A32" s="5">
        <f t="shared" si="2"/>
        <v>45916</v>
      </c>
      <c r="B32" s="6">
        <v>4444</v>
      </c>
      <c r="C32" s="6">
        <v>123456</v>
      </c>
      <c r="D32" s="6">
        <v>9001</v>
      </c>
      <c r="E32" s="7">
        <v>1000000</v>
      </c>
      <c r="F32" s="6" t="s">
        <v>6</v>
      </c>
      <c r="G32" s="6">
        <v>3.5</v>
      </c>
      <c r="H32" s="6">
        <v>311001</v>
      </c>
      <c r="I32" s="8">
        <v>45908</v>
      </c>
      <c r="J32" s="8">
        <f t="shared" si="11"/>
        <v>45916</v>
      </c>
      <c r="K32" s="8">
        <f t="shared" si="8"/>
        <v>46276</v>
      </c>
      <c r="L32" s="6" t="s">
        <v>13</v>
      </c>
      <c r="M32" s="9" t="s">
        <v>17</v>
      </c>
    </row>
    <row r="33" spans="1:13" x14ac:dyDescent="0.25">
      <c r="A33" s="5">
        <f t="shared" si="2"/>
        <v>45916</v>
      </c>
      <c r="B33" s="10">
        <v>4444</v>
      </c>
      <c r="C33" s="10">
        <v>123456</v>
      </c>
      <c r="D33" s="10">
        <v>9001</v>
      </c>
      <c r="E33" s="11">
        <v>1000000</v>
      </c>
      <c r="F33" s="10" t="s">
        <v>9</v>
      </c>
      <c r="G33" s="10">
        <v>47</v>
      </c>
      <c r="H33" s="10">
        <v>310030</v>
      </c>
      <c r="I33" s="12">
        <v>45908</v>
      </c>
      <c r="J33" s="8">
        <f t="shared" si="11"/>
        <v>45916</v>
      </c>
      <c r="K33" s="8">
        <f t="shared" si="8"/>
        <v>46276</v>
      </c>
      <c r="L33" s="10" t="s">
        <v>14</v>
      </c>
      <c r="M33" s="1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CORE_DEPOSIT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atakan asd</cp:lastModifiedBy>
  <dcterms:created xsi:type="dcterms:W3CDTF">2025-09-08T07:04:57Z</dcterms:created>
  <dcterms:modified xsi:type="dcterms:W3CDTF">2025-09-16T05:03:34Z</dcterms:modified>
</cp:coreProperties>
</file>