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evr\ra_frtb\data\"/>
    </mc:Choice>
  </mc:AlternateContent>
  <xr:revisionPtr revIDLastSave="0" documentId="13_ncr:1_{35D1BD2F-242B-4A9D-BAEF-85A652F6EFE8}" xr6:coauthVersionLast="47" xr6:coauthVersionMax="47" xr10:uidLastSave="{00000000-0000-0000-0000-000000000000}"/>
  <bookViews>
    <workbookView xWindow="28680" yWindow="-120" windowWidth="21840" windowHeight="13140" xr2:uid="{00000000-000D-0000-FFFF-FFFF00000000}"/>
  </bookViews>
  <sheets>
    <sheet name="CORE_DEPOSI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7" i="1" l="1"/>
  <c r="K37" i="1" s="1"/>
  <c r="A36" i="1"/>
  <c r="A38" i="1" s="1"/>
  <c r="J35" i="1"/>
  <c r="K35" i="1" s="1"/>
  <c r="J34" i="1"/>
  <c r="K34" i="1" s="1"/>
  <c r="I34" i="1"/>
  <c r="A10" i="1"/>
  <c r="A12" i="1" s="1"/>
  <c r="A11" i="1"/>
  <c r="A13" i="1"/>
  <c r="A15" i="1" s="1"/>
  <c r="A17" i="1" s="1"/>
  <c r="A19" i="1" s="1"/>
  <c r="K10" i="1"/>
  <c r="J11" i="1"/>
  <c r="K11" i="1" s="1"/>
  <c r="J10" i="1"/>
  <c r="I10" i="1"/>
  <c r="A6" i="1"/>
  <c r="A7" i="1"/>
  <c r="A8" i="1"/>
  <c r="A9" i="1"/>
  <c r="J9" i="1" s="1"/>
  <c r="K9" i="1" s="1"/>
  <c r="J7" i="1"/>
  <c r="K7" i="1" s="1"/>
  <c r="K6" i="1"/>
  <c r="J6" i="1"/>
  <c r="I6" i="1"/>
  <c r="K3" i="1"/>
  <c r="K4" i="1"/>
  <c r="K5" i="1"/>
  <c r="J3" i="1"/>
  <c r="J4" i="1"/>
  <c r="J5" i="1"/>
  <c r="K2" i="1"/>
  <c r="J2" i="1"/>
  <c r="I2" i="1"/>
  <c r="A5" i="1"/>
  <c r="A4" i="1"/>
  <c r="J38" i="1" l="1"/>
  <c r="K38" i="1" s="1"/>
  <c r="I38" i="1"/>
  <c r="A40" i="1"/>
  <c r="J36" i="1"/>
  <c r="K36" i="1" s="1"/>
  <c r="A39" i="1"/>
  <c r="A21" i="1"/>
  <c r="A23" i="1" s="1"/>
  <c r="A25" i="1" s="1"/>
  <c r="A27" i="1" s="1"/>
  <c r="J19" i="1"/>
  <c r="K19" i="1" s="1"/>
  <c r="J12" i="1"/>
  <c r="K12" i="1" s="1"/>
  <c r="A14" i="1"/>
  <c r="A16" i="1" s="1"/>
  <c r="A18" i="1" s="1"/>
  <c r="J25" i="1"/>
  <c r="K25" i="1" s="1"/>
  <c r="J23" i="1"/>
  <c r="K23" i="1" s="1"/>
  <c r="J21" i="1"/>
  <c r="K21" i="1" s="1"/>
  <c r="J15" i="1"/>
  <c r="K15" i="1" s="1"/>
  <c r="J17" i="1"/>
  <c r="K17" i="1" s="1"/>
  <c r="J13" i="1"/>
  <c r="K13" i="1" s="1"/>
  <c r="J8" i="1"/>
  <c r="K8" i="1" s="1"/>
  <c r="A41" i="1" l="1"/>
  <c r="J39" i="1"/>
  <c r="K39" i="1" s="1"/>
  <c r="J40" i="1"/>
  <c r="K40" i="1" s="1"/>
  <c r="A42" i="1"/>
  <c r="A20" i="1"/>
  <c r="J18" i="1"/>
  <c r="K18" i="1" s="1"/>
  <c r="I18" i="1"/>
  <c r="J27" i="1"/>
  <c r="K27" i="1" s="1"/>
  <c r="A29" i="1"/>
  <c r="J14" i="1"/>
  <c r="K14" i="1" s="1"/>
  <c r="I14" i="1"/>
  <c r="J16" i="1"/>
  <c r="K16" i="1" s="1"/>
  <c r="A44" i="1" l="1"/>
  <c r="J42" i="1"/>
  <c r="K42" i="1" s="1"/>
  <c r="I42" i="1"/>
  <c r="A43" i="1"/>
  <c r="J41" i="1"/>
  <c r="K41" i="1" s="1"/>
  <c r="A31" i="1"/>
  <c r="J29" i="1"/>
  <c r="K29" i="1" s="1"/>
  <c r="A22" i="1"/>
  <c r="J20" i="1"/>
  <c r="K20" i="1" s="1"/>
  <c r="J43" i="1" l="1"/>
  <c r="K43" i="1" s="1"/>
  <c r="A45" i="1"/>
  <c r="A46" i="1"/>
  <c r="J44" i="1"/>
  <c r="K44" i="1" s="1"/>
  <c r="A24" i="1"/>
  <c r="J22" i="1"/>
  <c r="K22" i="1" s="1"/>
  <c r="I22" i="1"/>
  <c r="A33" i="1"/>
  <c r="J33" i="1" s="1"/>
  <c r="K33" i="1" s="1"/>
  <c r="J31" i="1"/>
  <c r="K31" i="1" s="1"/>
  <c r="J45" i="1" l="1"/>
  <c r="K45" i="1" s="1"/>
  <c r="A47" i="1"/>
  <c r="A48" i="1"/>
  <c r="J46" i="1"/>
  <c r="K46" i="1" s="1"/>
  <c r="I46" i="1"/>
  <c r="A26" i="1"/>
  <c r="J24" i="1"/>
  <c r="K24" i="1" s="1"/>
  <c r="J48" i="1" l="1"/>
  <c r="K48" i="1" s="1"/>
  <c r="A50" i="1"/>
  <c r="J47" i="1"/>
  <c r="K47" i="1" s="1"/>
  <c r="A49" i="1"/>
  <c r="I26" i="1"/>
  <c r="A28" i="1"/>
  <c r="J26" i="1"/>
  <c r="K26" i="1" s="1"/>
  <c r="J49" i="1" l="1"/>
  <c r="K49" i="1" s="1"/>
  <c r="A51" i="1"/>
  <c r="J50" i="1"/>
  <c r="K50" i="1" s="1"/>
  <c r="I50" i="1"/>
  <c r="A52" i="1"/>
  <c r="J28" i="1"/>
  <c r="K28" i="1" s="1"/>
  <c r="A30" i="1"/>
  <c r="A54" i="1" l="1"/>
  <c r="J52" i="1"/>
  <c r="K52" i="1" s="1"/>
  <c r="A53" i="1"/>
  <c r="J51" i="1"/>
  <c r="K51" i="1" s="1"/>
  <c r="A32" i="1"/>
  <c r="J32" i="1" s="1"/>
  <c r="K32" i="1" s="1"/>
  <c r="I30" i="1"/>
  <c r="J30" i="1"/>
  <c r="K30" i="1" s="1"/>
  <c r="J53" i="1" l="1"/>
  <c r="K53" i="1" s="1"/>
  <c r="A55" i="1"/>
  <c r="J54" i="1"/>
  <c r="K54" i="1" s="1"/>
  <c r="I54" i="1"/>
  <c r="A56" i="1"/>
  <c r="A58" i="1" l="1"/>
  <c r="J56" i="1"/>
  <c r="K56" i="1" s="1"/>
  <c r="J55" i="1"/>
  <c r="K55" i="1" s="1"/>
  <c r="A57" i="1"/>
  <c r="A59" i="1" l="1"/>
  <c r="J57" i="1"/>
  <c r="K57" i="1" s="1"/>
  <c r="I58" i="1"/>
  <c r="A60" i="1"/>
  <c r="J58" i="1"/>
  <c r="K58" i="1" s="1"/>
  <c r="J60" i="1" l="1"/>
  <c r="K60" i="1" s="1"/>
  <c r="A62" i="1"/>
  <c r="J59" i="1"/>
  <c r="K59" i="1" s="1"/>
  <c r="A61" i="1"/>
  <c r="A63" i="1" l="1"/>
  <c r="J61" i="1"/>
  <c r="K61" i="1" s="1"/>
  <c r="I62" i="1"/>
  <c r="J62" i="1"/>
  <c r="K62" i="1" s="1"/>
  <c r="A64" i="1"/>
  <c r="J64" i="1" s="1"/>
  <c r="K64" i="1" s="1"/>
  <c r="A65" i="1" l="1"/>
  <c r="J65" i="1" s="1"/>
  <c r="K65" i="1" s="1"/>
  <c r="J63" i="1"/>
  <c r="K63" i="1" s="1"/>
</calcChain>
</file>

<file path=xl/sharedStrings.xml><?xml version="1.0" encoding="utf-8"?>
<sst xmlns="http://schemas.openxmlformats.org/spreadsheetml/2006/main" count="205" uniqueCount="19">
  <si>
    <t>REPORT_DATE</t>
  </si>
  <si>
    <t>BRANCH</t>
  </si>
  <si>
    <t>CUSTOMER_NO</t>
  </si>
  <si>
    <t>CUSTOMER_EX_NO</t>
  </si>
  <si>
    <t>NOTIONAL</t>
  </si>
  <si>
    <t>CURRENCY</t>
  </si>
  <si>
    <t>USD</t>
  </si>
  <si>
    <t>GL_CODE_LONG</t>
  </si>
  <si>
    <t>PRODUCT_CODE</t>
  </si>
  <si>
    <t>TRY</t>
  </si>
  <si>
    <t>INTEREST_RATE</t>
  </si>
  <si>
    <t>OPENING_DATE</t>
  </si>
  <si>
    <t>MATURITY</t>
  </si>
  <si>
    <t>Vadeli.Mevduat.Tasarruf</t>
  </si>
  <si>
    <t>Vadeli.Mevduat.Ticari</t>
  </si>
  <si>
    <t>CUSTOMER_ID</t>
  </si>
  <si>
    <t>EFFECTIVE_DATE</t>
  </si>
  <si>
    <t>4444//123456//9001//Vadeli.Mevduat.Tasarruf</t>
  </si>
  <si>
    <t>4444//123456//9001//Vadeli.Mevduat.Ticari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</si>
</sst>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dd/mm/yyyy"/>
  </numFmts>
  <fonts count="3" x14ac:knownFonts="1"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b/>
      <sz val="11"/>
      <color theme="0"/>
      <name val="Calibri"/>
      <family val="2"/>
      <charset val="16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6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64" fontId="0" fillId="0" borderId="2" xfId="1" applyFont="1" applyBorder="1" applyAlignment="1">
      <alignment horizontal="center"/>
    </xf>
    <xf numFmtId="165" fontId="0" fillId="0" borderId="2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164" fontId="0" fillId="0" borderId="4" xfId="1" applyFont="1" applyBorder="1" applyAlignment="1">
      <alignment horizontal="center"/>
    </xf>
    <xf numFmtId="165" fontId="0" fillId="0" borderId="4" xfId="0" applyNumberFormat="1" applyBorder="1" applyAlignment="1">
      <alignment horizontal="center"/>
    </xf>
    <xf numFmtId="0" fontId="0" fillId="0" borderId="5" xfId="0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65"/>
  <sheetViews>
    <sheetView showGridLines="0" tabSelected="1" zoomScale="90" zoomScaleNormal="90" workbookViewId="0">
      <selection activeCell="F13" sqref="F13"/>
    </sheetView>
  </sheetViews>
  <sheetFormatPr defaultRowHeight="15" x14ac:dyDescent="0.25"/>
  <cols>
    <col min="1" max="1" width="18.7109375" bestFit="1" customWidth="1"/>
    <col min="2" max="2" width="13.5703125" bestFit="1" customWidth="1"/>
    <col min="3" max="3" width="20" bestFit="1" customWidth="1"/>
    <col min="4" max="4" width="23.140625" bestFit="1" customWidth="1"/>
    <col min="5" max="5" width="15.42578125" bestFit="1" customWidth="1"/>
    <col min="6" max="6" width="15.5703125" bestFit="1" customWidth="1"/>
    <col min="7" max="7" width="19.7109375" bestFit="1" customWidth="1"/>
    <col min="8" max="8" width="20.28515625" bestFit="1" customWidth="1"/>
    <col min="9" max="9" width="20" bestFit="1" customWidth="1"/>
    <col min="10" max="10" width="20.5703125" bestFit="1" customWidth="1"/>
    <col min="11" max="11" width="15.42578125" bestFit="1" customWidth="1"/>
    <col min="12" max="12" width="22.42578125" bestFit="1" customWidth="1"/>
    <col min="13" max="13" width="43.7109375" bestFit="1" customWidth="1"/>
  </cols>
  <sheetData>
    <row r="1" spans="1:13" s="1" customFormat="1" x14ac:dyDescent="0.25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10</v>
      </c>
      <c r="H1" s="3" t="s">
        <v>7</v>
      </c>
      <c r="I1" s="3" t="s">
        <v>11</v>
      </c>
      <c r="J1" s="3" t="s">
        <v>16</v>
      </c>
      <c r="K1" s="3" t="s">
        <v>12</v>
      </c>
      <c r="L1" s="3" t="s">
        <v>8</v>
      </c>
      <c r="M1" s="4" t="s">
        <v>15</v>
      </c>
    </row>
    <row r="2" spans="1:13" s="1" customFormat="1" x14ac:dyDescent="0.25">
      <c r="A2" s="5">
        <v>45901</v>
      </c>
      <c r="B2" s="6">
        <v>4444</v>
      </c>
      <c r="C2" s="6">
        <v>123456</v>
      </c>
      <c r="D2" s="6">
        <v>9001</v>
      </c>
      <c r="E2" s="7">
        <v>1000000</v>
      </c>
      <c r="F2" s="6" t="s">
        <v>6</v>
      </c>
      <c r="G2" s="6">
        <v>3.5</v>
      </c>
      <c r="H2" s="6">
        <v>311001</v>
      </c>
      <c r="I2" s="8">
        <f>A2</f>
        <v>45901</v>
      </c>
      <c r="J2" s="8">
        <f>A2</f>
        <v>45901</v>
      </c>
      <c r="K2" s="8">
        <f>J2+90</f>
        <v>45991</v>
      </c>
      <c r="L2" s="6" t="s">
        <v>13</v>
      </c>
      <c r="M2" s="9" t="s">
        <v>17</v>
      </c>
    </row>
    <row r="3" spans="1:13" x14ac:dyDescent="0.25">
      <c r="A3" s="5">
        <v>45901</v>
      </c>
      <c r="B3" s="10">
        <v>4444</v>
      </c>
      <c r="C3" s="10">
        <v>123456</v>
      </c>
      <c r="D3" s="10">
        <v>9001</v>
      </c>
      <c r="E3" s="11">
        <v>1000000</v>
      </c>
      <c r="F3" s="10" t="s">
        <v>9</v>
      </c>
      <c r="G3" s="10">
        <v>47</v>
      </c>
      <c r="H3" s="10">
        <v>310030</v>
      </c>
      <c r="I3" s="12">
        <v>45908</v>
      </c>
      <c r="J3" s="8">
        <f t="shared" ref="J3:J5" si="0">A3</f>
        <v>45901</v>
      </c>
      <c r="K3" s="8">
        <f t="shared" ref="K3:K9" si="1">J3+90</f>
        <v>45991</v>
      </c>
      <c r="L3" s="10" t="s">
        <v>14</v>
      </c>
      <c r="M3" s="13" t="s">
        <v>18</v>
      </c>
    </row>
    <row r="4" spans="1:13" s="1" customFormat="1" x14ac:dyDescent="0.25">
      <c r="A4" s="5">
        <f>A2+1</f>
        <v>45902</v>
      </c>
      <c r="B4" s="6">
        <v>4444</v>
      </c>
      <c r="C4" s="6">
        <v>123456</v>
      </c>
      <c r="D4" s="6">
        <v>9001</v>
      </c>
      <c r="E4" s="7">
        <v>1000000</v>
      </c>
      <c r="F4" s="6" t="s">
        <v>6</v>
      </c>
      <c r="G4" s="6">
        <v>3.5</v>
      </c>
      <c r="H4" s="6">
        <v>311001</v>
      </c>
      <c r="I4" s="8">
        <v>45908</v>
      </c>
      <c r="J4" s="8">
        <f t="shared" si="0"/>
        <v>45902</v>
      </c>
      <c r="K4" s="8">
        <f t="shared" si="1"/>
        <v>45992</v>
      </c>
      <c r="L4" s="6" t="s">
        <v>13</v>
      </c>
      <c r="M4" s="9" t="s">
        <v>17</v>
      </c>
    </row>
    <row r="5" spans="1:13" x14ac:dyDescent="0.25">
      <c r="A5" s="5">
        <f>A3+1</f>
        <v>45902</v>
      </c>
      <c r="B5" s="10">
        <v>4444</v>
      </c>
      <c r="C5" s="10">
        <v>123456</v>
      </c>
      <c r="D5" s="10">
        <v>9001</v>
      </c>
      <c r="E5" s="11">
        <v>1000000</v>
      </c>
      <c r="F5" s="10" t="s">
        <v>9</v>
      </c>
      <c r="G5" s="10">
        <v>47</v>
      </c>
      <c r="H5" s="10">
        <v>310030</v>
      </c>
      <c r="I5" s="12">
        <v>45908</v>
      </c>
      <c r="J5" s="8">
        <f t="shared" si="0"/>
        <v>45902</v>
      </c>
      <c r="K5" s="8">
        <f t="shared" si="1"/>
        <v>45992</v>
      </c>
      <c r="L5" s="10" t="s">
        <v>14</v>
      </c>
      <c r="M5" s="13" t="s">
        <v>18</v>
      </c>
    </row>
    <row r="6" spans="1:13" s="1" customFormat="1" x14ac:dyDescent="0.25">
      <c r="A6" s="5">
        <f t="shared" ref="A6:A33" si="2">A4+1</f>
        <v>45903</v>
      </c>
      <c r="B6" s="6">
        <v>4444</v>
      </c>
      <c r="C6" s="6">
        <v>123456</v>
      </c>
      <c r="D6" s="6">
        <v>9001</v>
      </c>
      <c r="E6" s="7">
        <v>1000000</v>
      </c>
      <c r="F6" s="6" t="s">
        <v>6</v>
      </c>
      <c r="G6" s="6">
        <v>3.5</v>
      </c>
      <c r="H6" s="6">
        <v>311001</v>
      </c>
      <c r="I6" s="8">
        <f>A6</f>
        <v>45903</v>
      </c>
      <c r="J6" s="8">
        <f>A6</f>
        <v>45903</v>
      </c>
      <c r="K6" s="8">
        <f>J6+90</f>
        <v>45993</v>
      </c>
      <c r="L6" s="6" t="s">
        <v>13</v>
      </c>
      <c r="M6" s="9" t="s">
        <v>17</v>
      </c>
    </row>
    <row r="7" spans="1:13" x14ac:dyDescent="0.25">
      <c r="A7" s="5">
        <f t="shared" si="2"/>
        <v>45903</v>
      </c>
      <c r="B7" s="10">
        <v>4444</v>
      </c>
      <c r="C7" s="10">
        <v>123456</v>
      </c>
      <c r="D7" s="10">
        <v>9001</v>
      </c>
      <c r="E7" s="11">
        <v>1000000</v>
      </c>
      <c r="F7" s="10" t="s">
        <v>9</v>
      </c>
      <c r="G7" s="10">
        <v>47</v>
      </c>
      <c r="H7" s="10">
        <v>310030</v>
      </c>
      <c r="I7" s="12">
        <v>45908</v>
      </c>
      <c r="J7" s="8">
        <f t="shared" ref="J7:J9" si="3">A7</f>
        <v>45903</v>
      </c>
      <c r="K7" s="8">
        <f t="shared" si="1"/>
        <v>45993</v>
      </c>
      <c r="L7" s="10" t="s">
        <v>14</v>
      </c>
      <c r="M7" s="13" t="s">
        <v>18</v>
      </c>
    </row>
    <row r="8" spans="1:13" s="1" customFormat="1" x14ac:dyDescent="0.25">
      <c r="A8" s="5">
        <f t="shared" si="2"/>
        <v>45904</v>
      </c>
      <c r="B8" s="6">
        <v>4444</v>
      </c>
      <c r="C8" s="6">
        <v>123456</v>
      </c>
      <c r="D8" s="6">
        <v>9001</v>
      </c>
      <c r="E8" s="7">
        <v>1000000</v>
      </c>
      <c r="F8" s="6" t="s">
        <v>6</v>
      </c>
      <c r="G8" s="6">
        <v>3.5</v>
      </c>
      <c r="H8" s="6">
        <v>311001</v>
      </c>
      <c r="I8" s="8">
        <v>45908</v>
      </c>
      <c r="J8" s="8">
        <f t="shared" si="3"/>
        <v>45904</v>
      </c>
      <c r="K8" s="8">
        <f t="shared" si="1"/>
        <v>45994</v>
      </c>
      <c r="L8" s="6" t="s">
        <v>13</v>
      </c>
      <c r="M8" s="9" t="s">
        <v>17</v>
      </c>
    </row>
    <row r="9" spans="1:13" x14ac:dyDescent="0.25">
      <c r="A9" s="5">
        <f t="shared" si="2"/>
        <v>45904</v>
      </c>
      <c r="B9" s="10">
        <v>4444</v>
      </c>
      <c r="C9" s="10">
        <v>123456</v>
      </c>
      <c r="D9" s="10">
        <v>9001</v>
      </c>
      <c r="E9" s="11">
        <v>1000000</v>
      </c>
      <c r="F9" s="10" t="s">
        <v>9</v>
      </c>
      <c r="G9" s="10">
        <v>47</v>
      </c>
      <c r="H9" s="10">
        <v>310030</v>
      </c>
      <c r="I9" s="12">
        <v>45908</v>
      </c>
      <c r="J9" s="8">
        <f t="shared" si="3"/>
        <v>45904</v>
      </c>
      <c r="K9" s="8">
        <f t="shared" si="1"/>
        <v>45994</v>
      </c>
      <c r="L9" s="10" t="s">
        <v>14</v>
      </c>
      <c r="M9" s="13" t="s">
        <v>18</v>
      </c>
    </row>
    <row r="10" spans="1:13" s="1" customFormat="1" x14ac:dyDescent="0.25">
      <c r="A10" s="5">
        <f t="shared" si="2"/>
        <v>45905</v>
      </c>
      <c r="B10" s="6">
        <v>4444</v>
      </c>
      <c r="C10" s="6">
        <v>123456</v>
      </c>
      <c r="D10" s="6">
        <v>9001</v>
      </c>
      <c r="E10" s="7">
        <v>1000000</v>
      </c>
      <c r="F10" s="6" t="s">
        <v>6</v>
      </c>
      <c r="G10" s="6">
        <v>3.5</v>
      </c>
      <c r="H10" s="6">
        <v>311001</v>
      </c>
      <c r="I10" s="8">
        <f>A10</f>
        <v>45905</v>
      </c>
      <c r="J10" s="8">
        <f>A10</f>
        <v>45905</v>
      </c>
      <c r="K10" s="8">
        <f>J10+180</f>
        <v>46085</v>
      </c>
      <c r="L10" s="6" t="s">
        <v>13</v>
      </c>
      <c r="M10" s="9" t="s">
        <v>17</v>
      </c>
    </row>
    <row r="11" spans="1:13" x14ac:dyDescent="0.25">
      <c r="A11" s="5">
        <f t="shared" si="2"/>
        <v>45905</v>
      </c>
      <c r="B11" s="10">
        <v>4444</v>
      </c>
      <c r="C11" s="10">
        <v>123456</v>
      </c>
      <c r="D11" s="10">
        <v>9001</v>
      </c>
      <c r="E11" s="11">
        <v>1000000</v>
      </c>
      <c r="F11" s="10" t="s">
        <v>9</v>
      </c>
      <c r="G11" s="10">
        <v>47</v>
      </c>
      <c r="H11" s="10">
        <v>310030</v>
      </c>
      <c r="I11" s="12">
        <v>45908</v>
      </c>
      <c r="J11" s="8">
        <f t="shared" ref="J11:J13" si="4">A11</f>
        <v>45905</v>
      </c>
      <c r="K11" s="8">
        <f t="shared" ref="K11:K17" si="5">J11+180</f>
        <v>46085</v>
      </c>
      <c r="L11" s="10" t="s">
        <v>14</v>
      </c>
      <c r="M11" s="13" t="s">
        <v>18</v>
      </c>
    </row>
    <row r="12" spans="1:13" s="1" customFormat="1" x14ac:dyDescent="0.25">
      <c r="A12" s="5">
        <f t="shared" si="2"/>
        <v>45906</v>
      </c>
      <c r="B12" s="6">
        <v>4444</v>
      </c>
      <c r="C12" s="6">
        <v>123456</v>
      </c>
      <c r="D12" s="6">
        <v>9001</v>
      </c>
      <c r="E12" s="7">
        <v>1000000</v>
      </c>
      <c r="F12" s="6" t="s">
        <v>6</v>
      </c>
      <c r="G12" s="6">
        <v>3.5</v>
      </c>
      <c r="H12" s="6">
        <v>311001</v>
      </c>
      <c r="I12" s="8">
        <v>45908</v>
      </c>
      <c r="J12" s="8">
        <f t="shared" si="4"/>
        <v>45906</v>
      </c>
      <c r="K12" s="8">
        <f t="shared" si="5"/>
        <v>46086</v>
      </c>
      <c r="L12" s="6" t="s">
        <v>13</v>
      </c>
      <c r="M12" s="9" t="s">
        <v>17</v>
      </c>
    </row>
    <row r="13" spans="1:13" x14ac:dyDescent="0.25">
      <c r="A13" s="5">
        <f t="shared" si="2"/>
        <v>45906</v>
      </c>
      <c r="B13" s="10">
        <v>4444</v>
      </c>
      <c r="C13" s="10">
        <v>123456</v>
      </c>
      <c r="D13" s="10">
        <v>9001</v>
      </c>
      <c r="E13" s="11">
        <v>1000000</v>
      </c>
      <c r="F13" s="10" t="s">
        <v>9</v>
      </c>
      <c r="G13" s="10">
        <v>47</v>
      </c>
      <c r="H13" s="10">
        <v>310030</v>
      </c>
      <c r="I13" s="12">
        <v>45908</v>
      </c>
      <c r="J13" s="8">
        <f t="shared" si="4"/>
        <v>45906</v>
      </c>
      <c r="K13" s="8">
        <f t="shared" si="5"/>
        <v>46086</v>
      </c>
      <c r="L13" s="10" t="s">
        <v>14</v>
      </c>
      <c r="M13" s="13" t="s">
        <v>18</v>
      </c>
    </row>
    <row r="14" spans="1:13" s="1" customFormat="1" x14ac:dyDescent="0.25">
      <c r="A14" s="5">
        <f t="shared" si="2"/>
        <v>45907</v>
      </c>
      <c r="B14" s="6">
        <v>4444</v>
      </c>
      <c r="C14" s="6">
        <v>123456</v>
      </c>
      <c r="D14" s="6">
        <v>9001</v>
      </c>
      <c r="E14" s="7">
        <v>1000000</v>
      </c>
      <c r="F14" s="6" t="s">
        <v>6</v>
      </c>
      <c r="G14" s="6">
        <v>3.5</v>
      </c>
      <c r="H14" s="6">
        <v>311001</v>
      </c>
      <c r="I14" s="8">
        <f>A14</f>
        <v>45907</v>
      </c>
      <c r="J14" s="8">
        <f>A14</f>
        <v>45907</v>
      </c>
      <c r="K14" s="8">
        <f t="shared" si="5"/>
        <v>46087</v>
      </c>
      <c r="L14" s="6" t="s">
        <v>13</v>
      </c>
      <c r="M14" s="9" t="s">
        <v>17</v>
      </c>
    </row>
    <row r="15" spans="1:13" x14ac:dyDescent="0.25">
      <c r="A15" s="5">
        <f t="shared" si="2"/>
        <v>45907</v>
      </c>
      <c r="B15" s="10">
        <v>4444</v>
      </c>
      <c r="C15" s="10">
        <v>123456</v>
      </c>
      <c r="D15" s="10">
        <v>9001</v>
      </c>
      <c r="E15" s="11">
        <v>1000000</v>
      </c>
      <c r="F15" s="10" t="s">
        <v>9</v>
      </c>
      <c r="G15" s="10">
        <v>47</v>
      </c>
      <c r="H15" s="10">
        <v>310030</v>
      </c>
      <c r="I15" s="12">
        <v>45908</v>
      </c>
      <c r="J15" s="8">
        <f t="shared" ref="J15:J17" si="6">A15</f>
        <v>45907</v>
      </c>
      <c r="K15" s="8">
        <f t="shared" si="5"/>
        <v>46087</v>
      </c>
      <c r="L15" s="10" t="s">
        <v>14</v>
      </c>
      <c r="M15" s="13" t="s">
        <v>18</v>
      </c>
    </row>
    <row r="16" spans="1:13" s="1" customFormat="1" x14ac:dyDescent="0.25">
      <c r="A16" s="5">
        <f t="shared" si="2"/>
        <v>45908</v>
      </c>
      <c r="B16" s="6">
        <v>4444</v>
      </c>
      <c r="C16" s="6">
        <v>123456</v>
      </c>
      <c r="D16" s="6">
        <v>9001</v>
      </c>
      <c r="E16" s="7">
        <v>1000000</v>
      </c>
      <c r="F16" s="6" t="s">
        <v>6</v>
      </c>
      <c r="G16" s="6">
        <v>3.5</v>
      </c>
      <c r="H16" s="6">
        <v>311001</v>
      </c>
      <c r="I16" s="8">
        <v>45908</v>
      </c>
      <c r="J16" s="8">
        <f t="shared" si="6"/>
        <v>45908</v>
      </c>
      <c r="K16" s="8">
        <f t="shared" si="5"/>
        <v>46088</v>
      </c>
      <c r="L16" s="6" t="s">
        <v>13</v>
      </c>
      <c r="M16" s="9" t="s">
        <v>17</v>
      </c>
    </row>
    <row r="17" spans="1:13" x14ac:dyDescent="0.25">
      <c r="A17" s="5">
        <f t="shared" si="2"/>
        <v>45908</v>
      </c>
      <c r="B17" s="10">
        <v>4444</v>
      </c>
      <c r="C17" s="10">
        <v>123456</v>
      </c>
      <c r="D17" s="10">
        <v>9001</v>
      </c>
      <c r="E17" s="11">
        <v>1000000</v>
      </c>
      <c r="F17" s="10" t="s">
        <v>9</v>
      </c>
      <c r="G17" s="10">
        <v>47</v>
      </c>
      <c r="H17" s="10">
        <v>310030</v>
      </c>
      <c r="I17" s="12">
        <v>45908</v>
      </c>
      <c r="J17" s="8">
        <f t="shared" si="6"/>
        <v>45908</v>
      </c>
      <c r="K17" s="8">
        <f t="shared" si="5"/>
        <v>46088</v>
      </c>
      <c r="L17" s="10" t="s">
        <v>14</v>
      </c>
      <c r="M17" s="13" t="s">
        <v>18</v>
      </c>
    </row>
    <row r="18" spans="1:13" s="1" customFormat="1" x14ac:dyDescent="0.25">
      <c r="A18" s="5">
        <f t="shared" si="2"/>
        <v>45909</v>
      </c>
      <c r="B18" s="6">
        <v>4444</v>
      </c>
      <c r="C18" s="6">
        <v>123456</v>
      </c>
      <c r="D18" s="6">
        <v>9001</v>
      </c>
      <c r="E18" s="7">
        <v>1000000</v>
      </c>
      <c r="F18" s="6" t="s">
        <v>6</v>
      </c>
      <c r="G18" s="6">
        <v>3.5</v>
      </c>
      <c r="H18" s="6">
        <v>311001</v>
      </c>
      <c r="I18" s="8">
        <f>A18</f>
        <v>45909</v>
      </c>
      <c r="J18" s="8">
        <f>A18</f>
        <v>45909</v>
      </c>
      <c r="K18" s="8">
        <f>J18+360</f>
        <v>46269</v>
      </c>
      <c r="L18" s="6" t="s">
        <v>13</v>
      </c>
      <c r="M18" s="9" t="s">
        <v>17</v>
      </c>
    </row>
    <row r="19" spans="1:13" x14ac:dyDescent="0.25">
      <c r="A19" s="5">
        <f t="shared" si="2"/>
        <v>45909</v>
      </c>
      <c r="B19" s="10">
        <v>4444</v>
      </c>
      <c r="C19" s="10">
        <v>123456</v>
      </c>
      <c r="D19" s="10">
        <v>9001</v>
      </c>
      <c r="E19" s="11">
        <v>1000000</v>
      </c>
      <c r="F19" s="10" t="s">
        <v>9</v>
      </c>
      <c r="G19" s="10">
        <v>47</v>
      </c>
      <c r="H19" s="10">
        <v>310030</v>
      </c>
      <c r="I19" s="12">
        <v>45908</v>
      </c>
      <c r="J19" s="8">
        <f t="shared" ref="J19:J21" si="7">A19</f>
        <v>45909</v>
      </c>
      <c r="K19" s="8">
        <f t="shared" ref="K19:K33" si="8">J19+360</f>
        <v>46269</v>
      </c>
      <c r="L19" s="10" t="s">
        <v>14</v>
      </c>
      <c r="M19" s="13" t="s">
        <v>18</v>
      </c>
    </row>
    <row r="20" spans="1:13" s="1" customFormat="1" x14ac:dyDescent="0.25">
      <c r="A20" s="5">
        <f t="shared" si="2"/>
        <v>45910</v>
      </c>
      <c r="B20" s="6">
        <v>4444</v>
      </c>
      <c r="C20" s="6">
        <v>123456</v>
      </c>
      <c r="D20" s="6">
        <v>9001</v>
      </c>
      <c r="E20" s="7">
        <v>1000000</v>
      </c>
      <c r="F20" s="6" t="s">
        <v>6</v>
      </c>
      <c r="G20" s="6">
        <v>3.5</v>
      </c>
      <c r="H20" s="6">
        <v>311001</v>
      </c>
      <c r="I20" s="8">
        <v>45908</v>
      </c>
      <c r="J20" s="8">
        <f t="shared" si="7"/>
        <v>45910</v>
      </c>
      <c r="K20" s="8">
        <f t="shared" si="8"/>
        <v>46270</v>
      </c>
      <c r="L20" s="6" t="s">
        <v>13</v>
      </c>
      <c r="M20" s="9" t="s">
        <v>17</v>
      </c>
    </row>
    <row r="21" spans="1:13" x14ac:dyDescent="0.25">
      <c r="A21" s="5">
        <f t="shared" si="2"/>
        <v>45910</v>
      </c>
      <c r="B21" s="10">
        <v>4444</v>
      </c>
      <c r="C21" s="10">
        <v>123456</v>
      </c>
      <c r="D21" s="10">
        <v>9001</v>
      </c>
      <c r="E21" s="11">
        <v>1000000</v>
      </c>
      <c r="F21" s="10" t="s">
        <v>9</v>
      </c>
      <c r="G21" s="10">
        <v>47</v>
      </c>
      <c r="H21" s="10">
        <v>310030</v>
      </c>
      <c r="I21" s="12">
        <v>45908</v>
      </c>
      <c r="J21" s="8">
        <f t="shared" si="7"/>
        <v>45910</v>
      </c>
      <c r="K21" s="8">
        <f t="shared" si="8"/>
        <v>46270</v>
      </c>
      <c r="L21" s="10" t="s">
        <v>14</v>
      </c>
      <c r="M21" s="13" t="s">
        <v>18</v>
      </c>
    </row>
    <row r="22" spans="1:13" s="1" customFormat="1" x14ac:dyDescent="0.25">
      <c r="A22" s="5">
        <f t="shared" si="2"/>
        <v>45911</v>
      </c>
      <c r="B22" s="6">
        <v>4444</v>
      </c>
      <c r="C22" s="6">
        <v>123456</v>
      </c>
      <c r="D22" s="6">
        <v>9001</v>
      </c>
      <c r="E22" s="7">
        <v>1000000</v>
      </c>
      <c r="F22" s="6" t="s">
        <v>6</v>
      </c>
      <c r="G22" s="6">
        <v>3.5</v>
      </c>
      <c r="H22" s="6">
        <v>311001</v>
      </c>
      <c r="I22" s="8">
        <f>A22</f>
        <v>45911</v>
      </c>
      <c r="J22" s="8">
        <f>A22</f>
        <v>45911</v>
      </c>
      <c r="K22" s="8">
        <f t="shared" si="8"/>
        <v>46271</v>
      </c>
      <c r="L22" s="6" t="s">
        <v>13</v>
      </c>
      <c r="M22" s="9" t="s">
        <v>17</v>
      </c>
    </row>
    <row r="23" spans="1:13" x14ac:dyDescent="0.25">
      <c r="A23" s="5">
        <f t="shared" si="2"/>
        <v>45911</v>
      </c>
      <c r="B23" s="10">
        <v>4444</v>
      </c>
      <c r="C23" s="10">
        <v>123456</v>
      </c>
      <c r="D23" s="10">
        <v>9001</v>
      </c>
      <c r="E23" s="11">
        <v>1000000</v>
      </c>
      <c r="F23" s="10" t="s">
        <v>9</v>
      </c>
      <c r="G23" s="10">
        <v>47</v>
      </c>
      <c r="H23" s="10">
        <v>310030</v>
      </c>
      <c r="I23" s="12">
        <v>45908</v>
      </c>
      <c r="J23" s="8">
        <f t="shared" ref="J23:J25" si="9">A23</f>
        <v>45911</v>
      </c>
      <c r="K23" s="8">
        <f t="shared" si="8"/>
        <v>46271</v>
      </c>
      <c r="L23" s="10" t="s">
        <v>14</v>
      </c>
      <c r="M23" s="13" t="s">
        <v>18</v>
      </c>
    </row>
    <row r="24" spans="1:13" s="1" customFormat="1" x14ac:dyDescent="0.25">
      <c r="A24" s="5">
        <f t="shared" si="2"/>
        <v>45912</v>
      </c>
      <c r="B24" s="6">
        <v>4444</v>
      </c>
      <c r="C24" s="6">
        <v>123456</v>
      </c>
      <c r="D24" s="6">
        <v>9001</v>
      </c>
      <c r="E24" s="7">
        <v>1000000</v>
      </c>
      <c r="F24" s="6" t="s">
        <v>6</v>
      </c>
      <c r="G24" s="6">
        <v>3.5</v>
      </c>
      <c r="H24" s="6">
        <v>311001</v>
      </c>
      <c r="I24" s="8">
        <v>45908</v>
      </c>
      <c r="J24" s="8">
        <f t="shared" si="9"/>
        <v>45912</v>
      </c>
      <c r="K24" s="8">
        <f t="shared" si="8"/>
        <v>46272</v>
      </c>
      <c r="L24" s="6" t="s">
        <v>13</v>
      </c>
      <c r="M24" s="9" t="s">
        <v>17</v>
      </c>
    </row>
    <row r="25" spans="1:13" x14ac:dyDescent="0.25">
      <c r="A25" s="5">
        <f t="shared" si="2"/>
        <v>45912</v>
      </c>
      <c r="B25" s="10">
        <v>4444</v>
      </c>
      <c r="C25" s="10">
        <v>123456</v>
      </c>
      <c r="D25" s="10">
        <v>9001</v>
      </c>
      <c r="E25" s="11">
        <v>1000000</v>
      </c>
      <c r="F25" s="10" t="s">
        <v>9</v>
      </c>
      <c r="G25" s="10">
        <v>47</v>
      </c>
      <c r="H25" s="10">
        <v>310030</v>
      </c>
      <c r="I25" s="12">
        <v>45908</v>
      </c>
      <c r="J25" s="8">
        <f t="shared" si="9"/>
        <v>45912</v>
      </c>
      <c r="K25" s="8">
        <f t="shared" si="8"/>
        <v>46272</v>
      </c>
      <c r="L25" s="10" t="s">
        <v>14</v>
      </c>
      <c r="M25" s="13" t="s">
        <v>18</v>
      </c>
    </row>
    <row r="26" spans="1:13" s="1" customFormat="1" x14ac:dyDescent="0.25">
      <c r="A26" s="5">
        <f t="shared" si="2"/>
        <v>45913</v>
      </c>
      <c r="B26" s="6">
        <v>4444</v>
      </c>
      <c r="C26" s="6">
        <v>123456</v>
      </c>
      <c r="D26" s="6">
        <v>9001</v>
      </c>
      <c r="E26" s="7">
        <v>1000000</v>
      </c>
      <c r="F26" s="6" t="s">
        <v>6</v>
      </c>
      <c r="G26" s="6">
        <v>3.5</v>
      </c>
      <c r="H26" s="6">
        <v>311001</v>
      </c>
      <c r="I26" s="8">
        <f>A26</f>
        <v>45913</v>
      </c>
      <c r="J26" s="8">
        <f>A26</f>
        <v>45913</v>
      </c>
      <c r="K26" s="8">
        <f t="shared" si="8"/>
        <v>46273</v>
      </c>
      <c r="L26" s="6" t="s">
        <v>13</v>
      </c>
      <c r="M26" s="9" t="s">
        <v>17</v>
      </c>
    </row>
    <row r="27" spans="1:13" x14ac:dyDescent="0.25">
      <c r="A27" s="5">
        <f t="shared" si="2"/>
        <v>45913</v>
      </c>
      <c r="B27" s="10">
        <v>4444</v>
      </c>
      <c r="C27" s="10">
        <v>123456</v>
      </c>
      <c r="D27" s="10">
        <v>9001</v>
      </c>
      <c r="E27" s="11">
        <v>1000000</v>
      </c>
      <c r="F27" s="10" t="s">
        <v>9</v>
      </c>
      <c r="G27" s="10">
        <v>47</v>
      </c>
      <c r="H27" s="10">
        <v>310030</v>
      </c>
      <c r="I27" s="12">
        <v>45908</v>
      </c>
      <c r="J27" s="8">
        <f t="shared" ref="J27:J29" si="10">A27</f>
        <v>45913</v>
      </c>
      <c r="K27" s="8">
        <f t="shared" si="8"/>
        <v>46273</v>
      </c>
      <c r="L27" s="10" t="s">
        <v>14</v>
      </c>
      <c r="M27" s="13" t="s">
        <v>18</v>
      </c>
    </row>
    <row r="28" spans="1:13" s="1" customFormat="1" x14ac:dyDescent="0.25">
      <c r="A28" s="5">
        <f t="shared" si="2"/>
        <v>45914</v>
      </c>
      <c r="B28" s="6">
        <v>4444</v>
      </c>
      <c r="C28" s="6">
        <v>123456</v>
      </c>
      <c r="D28" s="6">
        <v>9001</v>
      </c>
      <c r="E28" s="7">
        <v>1000000</v>
      </c>
      <c r="F28" s="6" t="s">
        <v>6</v>
      </c>
      <c r="G28" s="6">
        <v>3.5</v>
      </c>
      <c r="H28" s="6">
        <v>311001</v>
      </c>
      <c r="I28" s="8">
        <v>45908</v>
      </c>
      <c r="J28" s="8">
        <f t="shared" si="10"/>
        <v>45914</v>
      </c>
      <c r="K28" s="8">
        <f t="shared" si="8"/>
        <v>46274</v>
      </c>
      <c r="L28" s="6" t="s">
        <v>13</v>
      </c>
      <c r="M28" s="9" t="s">
        <v>17</v>
      </c>
    </row>
    <row r="29" spans="1:13" x14ac:dyDescent="0.25">
      <c r="A29" s="5">
        <f t="shared" si="2"/>
        <v>45914</v>
      </c>
      <c r="B29" s="10">
        <v>4444</v>
      </c>
      <c r="C29" s="10">
        <v>123456</v>
      </c>
      <c r="D29" s="10">
        <v>9001</v>
      </c>
      <c r="E29" s="11">
        <v>1000000</v>
      </c>
      <c r="F29" s="10" t="s">
        <v>9</v>
      </c>
      <c r="G29" s="10">
        <v>47</v>
      </c>
      <c r="H29" s="10">
        <v>310030</v>
      </c>
      <c r="I29" s="12">
        <v>45908</v>
      </c>
      <c r="J29" s="8">
        <f t="shared" si="10"/>
        <v>45914</v>
      </c>
      <c r="K29" s="8">
        <f t="shared" si="8"/>
        <v>46274</v>
      </c>
      <c r="L29" s="10" t="s">
        <v>14</v>
      </c>
      <c r="M29" s="13" t="s">
        <v>18</v>
      </c>
    </row>
    <row r="30" spans="1:13" s="1" customFormat="1" x14ac:dyDescent="0.25">
      <c r="A30" s="5">
        <f t="shared" si="2"/>
        <v>45915</v>
      </c>
      <c r="B30" s="6">
        <v>4444</v>
      </c>
      <c r="C30" s="6">
        <v>123456</v>
      </c>
      <c r="D30" s="6">
        <v>9001</v>
      </c>
      <c r="E30" s="7">
        <v>1000000</v>
      </c>
      <c r="F30" s="6" t="s">
        <v>6</v>
      </c>
      <c r="G30" s="6">
        <v>3.5</v>
      </c>
      <c r="H30" s="6">
        <v>311001</v>
      </c>
      <c r="I30" s="8">
        <f>A30</f>
        <v>45915</v>
      </c>
      <c r="J30" s="8">
        <f>A30</f>
        <v>45915</v>
      </c>
      <c r="K30" s="8">
        <f t="shared" si="8"/>
        <v>46275</v>
      </c>
      <c r="L30" s="6" t="s">
        <v>13</v>
      </c>
      <c r="M30" s="9" t="s">
        <v>17</v>
      </c>
    </row>
    <row r="31" spans="1:13" x14ac:dyDescent="0.25">
      <c r="A31" s="5">
        <f t="shared" si="2"/>
        <v>45915</v>
      </c>
      <c r="B31" s="10">
        <v>4444</v>
      </c>
      <c r="C31" s="10">
        <v>123456</v>
      </c>
      <c r="D31" s="10">
        <v>9001</v>
      </c>
      <c r="E31" s="11">
        <v>1000000</v>
      </c>
      <c r="F31" s="10" t="s">
        <v>9</v>
      </c>
      <c r="G31" s="10">
        <v>47</v>
      </c>
      <c r="H31" s="10">
        <v>310030</v>
      </c>
      <c r="I31" s="12">
        <v>45908</v>
      </c>
      <c r="J31" s="8">
        <f t="shared" ref="J31:J33" si="11">A31</f>
        <v>45915</v>
      </c>
      <c r="K31" s="8">
        <f t="shared" si="8"/>
        <v>46275</v>
      </c>
      <c r="L31" s="10" t="s">
        <v>14</v>
      </c>
      <c r="M31" s="13" t="s">
        <v>18</v>
      </c>
    </row>
    <row r="32" spans="1:13" s="1" customFormat="1" x14ac:dyDescent="0.25">
      <c r="A32" s="5">
        <f t="shared" si="2"/>
        <v>45916</v>
      </c>
      <c r="B32" s="6">
        <v>4444</v>
      </c>
      <c r="C32" s="6">
        <v>123456</v>
      </c>
      <c r="D32" s="6">
        <v>9001</v>
      </c>
      <c r="E32" s="7">
        <v>1000000</v>
      </c>
      <c r="F32" s="6" t="s">
        <v>6</v>
      </c>
      <c r="G32" s="6">
        <v>3.5</v>
      </c>
      <c r="H32" s="6">
        <v>311001</v>
      </c>
      <c r="I32" s="8">
        <v>45908</v>
      </c>
      <c r="J32" s="8">
        <f t="shared" si="11"/>
        <v>45916</v>
      </c>
      <c r="K32" s="8">
        <f t="shared" si="8"/>
        <v>46276</v>
      </c>
      <c r="L32" s="6" t="s">
        <v>13</v>
      </c>
      <c r="M32" s="9" t="s">
        <v>17</v>
      </c>
    </row>
    <row r="33" spans="1:13" x14ac:dyDescent="0.25">
      <c r="A33" s="5">
        <f t="shared" si="2"/>
        <v>45916</v>
      </c>
      <c r="B33" s="10">
        <v>4444</v>
      </c>
      <c r="C33" s="10">
        <v>123456</v>
      </c>
      <c r="D33" s="10">
        <v>9001</v>
      </c>
      <c r="E33" s="11">
        <v>1000000</v>
      </c>
      <c r="F33" s="10" t="s">
        <v>9</v>
      </c>
      <c r="G33" s="10">
        <v>47</v>
      </c>
      <c r="H33" s="10">
        <v>310030</v>
      </c>
      <c r="I33" s="12">
        <v>45908</v>
      </c>
      <c r="J33" s="8">
        <f t="shared" si="11"/>
        <v>45916</v>
      </c>
      <c r="K33" s="8">
        <f t="shared" si="8"/>
        <v>46276</v>
      </c>
      <c r="L33" s="10" t="s">
        <v>14</v>
      </c>
      <c r="M33" s="13" t="s">
        <v>18</v>
      </c>
    </row>
    <row r="34" spans="1:13" x14ac:dyDescent="0.25">
      <c r="A34" s="5">
        <v>44805</v>
      </c>
      <c r="B34" s="6">
        <v>4444</v>
      </c>
      <c r="C34" s="6">
        <v>123456</v>
      </c>
      <c r="D34" s="6">
        <v>9001</v>
      </c>
      <c r="E34" s="7">
        <v>1000000</v>
      </c>
      <c r="F34" s="6" t="s">
        <v>6</v>
      </c>
      <c r="G34" s="6">
        <v>3.5</v>
      </c>
      <c r="H34" s="6">
        <v>311001</v>
      </c>
      <c r="I34" s="8">
        <f>A34</f>
        <v>44805</v>
      </c>
      <c r="J34" s="8">
        <f>A34</f>
        <v>44805</v>
      </c>
      <c r="K34" s="8">
        <f>J34+90</f>
        <v>44895</v>
      </c>
      <c r="L34" s="6" t="s">
        <v>13</v>
      </c>
      <c r="M34" s="9" t="s">
        <v>17</v>
      </c>
    </row>
    <row r="35" spans="1:13" x14ac:dyDescent="0.25">
      <c r="A35" s="5">
        <v>45901</v>
      </c>
      <c r="B35" s="10">
        <v>4444</v>
      </c>
      <c r="C35" s="10">
        <v>123456</v>
      </c>
      <c r="D35" s="10">
        <v>9001</v>
      </c>
      <c r="E35" s="11">
        <v>1000000</v>
      </c>
      <c r="F35" s="10" t="s">
        <v>9</v>
      </c>
      <c r="G35" s="10">
        <v>47</v>
      </c>
      <c r="H35" s="10">
        <v>310030</v>
      </c>
      <c r="I35" s="12">
        <v>45908</v>
      </c>
      <c r="J35" s="8">
        <f t="shared" ref="J35:J37" si="12">A35</f>
        <v>45901</v>
      </c>
      <c r="K35" s="8">
        <f t="shared" ref="K35:K41" si="13">J35+90</f>
        <v>45991</v>
      </c>
      <c r="L35" s="10" t="s">
        <v>14</v>
      </c>
      <c r="M35" s="13" t="s">
        <v>18</v>
      </c>
    </row>
    <row r="36" spans="1:13" x14ac:dyDescent="0.25">
      <c r="A36" s="5">
        <f>A34+1</f>
        <v>44806</v>
      </c>
      <c r="B36" s="6">
        <v>4444</v>
      </c>
      <c r="C36" s="6">
        <v>123456</v>
      </c>
      <c r="D36" s="6">
        <v>9001</v>
      </c>
      <c r="E36" s="7">
        <v>1000000</v>
      </c>
      <c r="F36" s="6" t="s">
        <v>6</v>
      </c>
      <c r="G36" s="6">
        <v>3.5</v>
      </c>
      <c r="H36" s="6">
        <v>311001</v>
      </c>
      <c r="I36" s="8">
        <v>45908</v>
      </c>
      <c r="J36" s="8">
        <f t="shared" si="12"/>
        <v>44806</v>
      </c>
      <c r="K36" s="8">
        <f t="shared" si="13"/>
        <v>44896</v>
      </c>
      <c r="L36" s="6" t="s">
        <v>13</v>
      </c>
      <c r="M36" s="9" t="s">
        <v>17</v>
      </c>
    </row>
    <row r="37" spans="1:13" x14ac:dyDescent="0.25">
      <c r="A37" s="5">
        <v>44806</v>
      </c>
      <c r="B37" s="10">
        <v>4444</v>
      </c>
      <c r="C37" s="10">
        <v>123456</v>
      </c>
      <c r="D37" s="10">
        <v>9001</v>
      </c>
      <c r="E37" s="11">
        <v>1000000</v>
      </c>
      <c r="F37" s="10" t="s">
        <v>9</v>
      </c>
      <c r="G37" s="10">
        <v>47</v>
      </c>
      <c r="H37" s="10">
        <v>310030</v>
      </c>
      <c r="I37" s="12">
        <v>45908</v>
      </c>
      <c r="J37" s="8">
        <f t="shared" si="12"/>
        <v>44806</v>
      </c>
      <c r="K37" s="8">
        <f t="shared" si="13"/>
        <v>44896</v>
      </c>
      <c r="L37" s="10" t="s">
        <v>14</v>
      </c>
      <c r="M37" s="13" t="s">
        <v>18</v>
      </c>
    </row>
    <row r="38" spans="1:13" x14ac:dyDescent="0.25">
      <c r="A38" s="5">
        <f t="shared" ref="A38:A65" si="14">A36+1</f>
        <v>44807</v>
      </c>
      <c r="B38" s="6">
        <v>4444</v>
      </c>
      <c r="C38" s="6">
        <v>123456</v>
      </c>
      <c r="D38" s="6">
        <v>9001</v>
      </c>
      <c r="E38" s="7">
        <v>1000000</v>
      </c>
      <c r="F38" s="6" t="s">
        <v>6</v>
      </c>
      <c r="G38" s="6">
        <v>3.5</v>
      </c>
      <c r="H38" s="6">
        <v>311001</v>
      </c>
      <c r="I38" s="8">
        <f>A38</f>
        <v>44807</v>
      </c>
      <c r="J38" s="8">
        <f>A38</f>
        <v>44807</v>
      </c>
      <c r="K38" s="8">
        <f>J38+90</f>
        <v>44897</v>
      </c>
      <c r="L38" s="6" t="s">
        <v>13</v>
      </c>
      <c r="M38" s="9" t="s">
        <v>17</v>
      </c>
    </row>
    <row r="39" spans="1:13" x14ac:dyDescent="0.25">
      <c r="A39" s="5">
        <f t="shared" si="14"/>
        <v>44807</v>
      </c>
      <c r="B39" s="10">
        <v>4444</v>
      </c>
      <c r="C39" s="10">
        <v>123456</v>
      </c>
      <c r="D39" s="10">
        <v>9001</v>
      </c>
      <c r="E39" s="11">
        <v>1000000</v>
      </c>
      <c r="F39" s="10" t="s">
        <v>9</v>
      </c>
      <c r="G39" s="10">
        <v>47</v>
      </c>
      <c r="H39" s="10">
        <v>310030</v>
      </c>
      <c r="I39" s="12">
        <v>45908</v>
      </c>
      <c r="J39" s="8">
        <f t="shared" ref="J39:J41" si="15">A39</f>
        <v>44807</v>
      </c>
      <c r="K39" s="8">
        <f t="shared" ref="K39:K45" si="16">J39+90</f>
        <v>44897</v>
      </c>
      <c r="L39" s="10" t="s">
        <v>14</v>
      </c>
      <c r="M39" s="13" t="s">
        <v>18</v>
      </c>
    </row>
    <row r="40" spans="1:13" x14ac:dyDescent="0.25">
      <c r="A40" s="5">
        <f t="shared" si="14"/>
        <v>44808</v>
      </c>
      <c r="B40" s="6">
        <v>4444</v>
      </c>
      <c r="C40" s="6">
        <v>123456</v>
      </c>
      <c r="D40" s="6">
        <v>9001</v>
      </c>
      <c r="E40" s="7">
        <v>1000000</v>
      </c>
      <c r="F40" s="6" t="s">
        <v>6</v>
      </c>
      <c r="G40" s="6">
        <v>3.5</v>
      </c>
      <c r="H40" s="6">
        <v>311001</v>
      </c>
      <c r="I40" s="8">
        <v>45908</v>
      </c>
      <c r="J40" s="8">
        <f t="shared" si="15"/>
        <v>44808</v>
      </c>
      <c r="K40" s="8">
        <f t="shared" si="16"/>
        <v>44898</v>
      </c>
      <c r="L40" s="6" t="s">
        <v>13</v>
      </c>
      <c r="M40" s="9" t="s">
        <v>17</v>
      </c>
    </row>
    <row r="41" spans="1:13" x14ac:dyDescent="0.25">
      <c r="A41" s="5">
        <f t="shared" si="14"/>
        <v>44808</v>
      </c>
      <c r="B41" s="10">
        <v>4444</v>
      </c>
      <c r="C41" s="10">
        <v>123456</v>
      </c>
      <c r="D41" s="10">
        <v>9001</v>
      </c>
      <c r="E41" s="11">
        <v>1000000</v>
      </c>
      <c r="F41" s="10" t="s">
        <v>9</v>
      </c>
      <c r="G41" s="10">
        <v>47</v>
      </c>
      <c r="H41" s="10">
        <v>310030</v>
      </c>
      <c r="I41" s="12">
        <v>45908</v>
      </c>
      <c r="J41" s="8">
        <f t="shared" si="15"/>
        <v>44808</v>
      </c>
      <c r="K41" s="8">
        <f t="shared" si="16"/>
        <v>44898</v>
      </c>
      <c r="L41" s="10" t="s">
        <v>14</v>
      </c>
      <c r="M41" s="13" t="s">
        <v>18</v>
      </c>
    </row>
    <row r="42" spans="1:13" x14ac:dyDescent="0.25">
      <c r="A42" s="5">
        <f t="shared" si="14"/>
        <v>44809</v>
      </c>
      <c r="B42" s="6">
        <v>4444</v>
      </c>
      <c r="C42" s="6">
        <v>123456</v>
      </c>
      <c r="D42" s="6">
        <v>9001</v>
      </c>
      <c r="E42" s="7">
        <v>1000000</v>
      </c>
      <c r="F42" s="6" t="s">
        <v>6</v>
      </c>
      <c r="G42" s="6">
        <v>3.5</v>
      </c>
      <c r="H42" s="6">
        <v>311001</v>
      </c>
      <c r="I42" s="8">
        <f>A42</f>
        <v>44809</v>
      </c>
      <c r="J42" s="8">
        <f>A42</f>
        <v>44809</v>
      </c>
      <c r="K42" s="8">
        <f>J42+180</f>
        <v>44989</v>
      </c>
      <c r="L42" s="6" t="s">
        <v>13</v>
      </c>
      <c r="M42" s="9" t="s">
        <v>17</v>
      </c>
    </row>
    <row r="43" spans="1:13" x14ac:dyDescent="0.25">
      <c r="A43" s="5">
        <f t="shared" si="14"/>
        <v>44809</v>
      </c>
      <c r="B43" s="10">
        <v>4444</v>
      </c>
      <c r="C43" s="10">
        <v>123456</v>
      </c>
      <c r="D43" s="10">
        <v>9001</v>
      </c>
      <c r="E43" s="11">
        <v>1000000</v>
      </c>
      <c r="F43" s="10" t="s">
        <v>9</v>
      </c>
      <c r="G43" s="10">
        <v>47</v>
      </c>
      <c r="H43" s="10">
        <v>310030</v>
      </c>
      <c r="I43" s="12">
        <v>45908</v>
      </c>
      <c r="J43" s="8">
        <f t="shared" ref="J43:J45" si="17">A43</f>
        <v>44809</v>
      </c>
      <c r="K43" s="8">
        <f t="shared" ref="K43:K49" si="18">J43+180</f>
        <v>44989</v>
      </c>
      <c r="L43" s="10" t="s">
        <v>14</v>
      </c>
      <c r="M43" s="13" t="s">
        <v>18</v>
      </c>
    </row>
    <row r="44" spans="1:13" x14ac:dyDescent="0.25">
      <c r="A44" s="5">
        <f t="shared" si="14"/>
        <v>44810</v>
      </c>
      <c r="B44" s="6">
        <v>4444</v>
      </c>
      <c r="C44" s="6">
        <v>123456</v>
      </c>
      <c r="D44" s="6">
        <v>9001</v>
      </c>
      <c r="E44" s="7">
        <v>1000000</v>
      </c>
      <c r="F44" s="6" t="s">
        <v>6</v>
      </c>
      <c r="G44" s="6">
        <v>3.5</v>
      </c>
      <c r="H44" s="6">
        <v>311001</v>
      </c>
      <c r="I44" s="8">
        <v>45908</v>
      </c>
      <c r="J44" s="8">
        <f t="shared" si="17"/>
        <v>44810</v>
      </c>
      <c r="K44" s="8">
        <f t="shared" si="18"/>
        <v>44990</v>
      </c>
      <c r="L44" s="6" t="s">
        <v>13</v>
      </c>
      <c r="M44" s="9" t="s">
        <v>17</v>
      </c>
    </row>
    <row r="45" spans="1:13" x14ac:dyDescent="0.25">
      <c r="A45" s="5">
        <f t="shared" si="14"/>
        <v>44810</v>
      </c>
      <c r="B45" s="10">
        <v>4444</v>
      </c>
      <c r="C45" s="10">
        <v>123456</v>
      </c>
      <c r="D45" s="10">
        <v>9001</v>
      </c>
      <c r="E45" s="11">
        <v>1000000</v>
      </c>
      <c r="F45" s="10" t="s">
        <v>9</v>
      </c>
      <c r="G45" s="10">
        <v>47</v>
      </c>
      <c r="H45" s="10">
        <v>310030</v>
      </c>
      <c r="I45" s="12">
        <v>45908</v>
      </c>
      <c r="J45" s="8">
        <f t="shared" si="17"/>
        <v>44810</v>
      </c>
      <c r="K45" s="8">
        <f t="shared" si="18"/>
        <v>44990</v>
      </c>
      <c r="L45" s="10" t="s">
        <v>14</v>
      </c>
      <c r="M45" s="13" t="s">
        <v>18</v>
      </c>
    </row>
    <row r="46" spans="1:13" x14ac:dyDescent="0.25">
      <c r="A46" s="5">
        <f t="shared" si="14"/>
        <v>44811</v>
      </c>
      <c r="B46" s="6">
        <v>4444</v>
      </c>
      <c r="C46" s="6">
        <v>123456</v>
      </c>
      <c r="D46" s="6">
        <v>9001</v>
      </c>
      <c r="E46" s="7">
        <v>1000000</v>
      </c>
      <c r="F46" s="6" t="s">
        <v>6</v>
      </c>
      <c r="G46" s="6">
        <v>3.5</v>
      </c>
      <c r="H46" s="6">
        <v>311001</v>
      </c>
      <c r="I46" s="8">
        <f>A46</f>
        <v>44811</v>
      </c>
      <c r="J46" s="8">
        <f>A46</f>
        <v>44811</v>
      </c>
      <c r="K46" s="8">
        <f t="shared" si="18"/>
        <v>44991</v>
      </c>
      <c r="L46" s="6" t="s">
        <v>13</v>
      </c>
      <c r="M46" s="9" t="s">
        <v>17</v>
      </c>
    </row>
    <row r="47" spans="1:13" x14ac:dyDescent="0.25">
      <c r="A47" s="5">
        <f t="shared" si="14"/>
        <v>44811</v>
      </c>
      <c r="B47" s="10">
        <v>4444</v>
      </c>
      <c r="C47" s="10">
        <v>123456</v>
      </c>
      <c r="D47" s="10">
        <v>9001</v>
      </c>
      <c r="E47" s="11">
        <v>1000000</v>
      </c>
      <c r="F47" s="10" t="s">
        <v>9</v>
      </c>
      <c r="G47" s="10">
        <v>47</v>
      </c>
      <c r="H47" s="10">
        <v>310030</v>
      </c>
      <c r="I47" s="12">
        <v>45908</v>
      </c>
      <c r="J47" s="8">
        <f t="shared" ref="J47:J49" si="19">A47</f>
        <v>44811</v>
      </c>
      <c r="K47" s="8">
        <f t="shared" si="18"/>
        <v>44991</v>
      </c>
      <c r="L47" s="10" t="s">
        <v>14</v>
      </c>
      <c r="M47" s="13" t="s">
        <v>18</v>
      </c>
    </row>
    <row r="48" spans="1:13" x14ac:dyDescent="0.25">
      <c r="A48" s="5">
        <f t="shared" si="14"/>
        <v>44812</v>
      </c>
      <c r="B48" s="6">
        <v>4444</v>
      </c>
      <c r="C48" s="6">
        <v>123456</v>
      </c>
      <c r="D48" s="6">
        <v>9001</v>
      </c>
      <c r="E48" s="7">
        <v>1000000</v>
      </c>
      <c r="F48" s="6" t="s">
        <v>6</v>
      </c>
      <c r="G48" s="6">
        <v>3.5</v>
      </c>
      <c r="H48" s="6">
        <v>311001</v>
      </c>
      <c r="I48" s="8">
        <v>45908</v>
      </c>
      <c r="J48" s="8">
        <f t="shared" si="19"/>
        <v>44812</v>
      </c>
      <c r="K48" s="8">
        <f t="shared" si="18"/>
        <v>44992</v>
      </c>
      <c r="L48" s="6" t="s">
        <v>13</v>
      </c>
      <c r="M48" s="9" t="s">
        <v>17</v>
      </c>
    </row>
    <row r="49" spans="1:13" x14ac:dyDescent="0.25">
      <c r="A49" s="5">
        <f t="shared" si="14"/>
        <v>44812</v>
      </c>
      <c r="B49" s="10">
        <v>4444</v>
      </c>
      <c r="C49" s="10">
        <v>123456</v>
      </c>
      <c r="D49" s="10">
        <v>9001</v>
      </c>
      <c r="E49" s="11">
        <v>1000000</v>
      </c>
      <c r="F49" s="10" t="s">
        <v>9</v>
      </c>
      <c r="G49" s="10">
        <v>47</v>
      </c>
      <c r="H49" s="10">
        <v>310030</v>
      </c>
      <c r="I49" s="12">
        <v>45908</v>
      </c>
      <c r="J49" s="8">
        <f t="shared" si="19"/>
        <v>44812</v>
      </c>
      <c r="K49" s="8">
        <f t="shared" si="18"/>
        <v>44992</v>
      </c>
      <c r="L49" s="10" t="s">
        <v>14</v>
      </c>
      <c r="M49" s="13" t="s">
        <v>18</v>
      </c>
    </row>
    <row r="50" spans="1:13" x14ac:dyDescent="0.25">
      <c r="A50" s="5">
        <f t="shared" si="14"/>
        <v>44813</v>
      </c>
      <c r="B50" s="6">
        <v>4444</v>
      </c>
      <c r="C50" s="6">
        <v>123456</v>
      </c>
      <c r="D50" s="6">
        <v>9001</v>
      </c>
      <c r="E50" s="7">
        <v>1000000</v>
      </c>
      <c r="F50" s="6" t="s">
        <v>6</v>
      </c>
      <c r="G50" s="6">
        <v>3.5</v>
      </c>
      <c r="H50" s="6">
        <v>311001</v>
      </c>
      <c r="I50" s="8">
        <f>A50</f>
        <v>44813</v>
      </c>
      <c r="J50" s="8">
        <f>A50</f>
        <v>44813</v>
      </c>
      <c r="K50" s="8">
        <f>J50+360</f>
        <v>45173</v>
      </c>
      <c r="L50" s="6" t="s">
        <v>13</v>
      </c>
      <c r="M50" s="9" t="s">
        <v>17</v>
      </c>
    </row>
    <row r="51" spans="1:13" x14ac:dyDescent="0.25">
      <c r="A51" s="5">
        <f t="shared" si="14"/>
        <v>44813</v>
      </c>
      <c r="B51" s="10">
        <v>4444</v>
      </c>
      <c r="C51" s="10">
        <v>123456</v>
      </c>
      <c r="D51" s="10">
        <v>9001</v>
      </c>
      <c r="E51" s="11">
        <v>1000000</v>
      </c>
      <c r="F51" s="10" t="s">
        <v>9</v>
      </c>
      <c r="G51" s="10">
        <v>47</v>
      </c>
      <c r="H51" s="10">
        <v>310030</v>
      </c>
      <c r="I51" s="12">
        <v>45908</v>
      </c>
      <c r="J51" s="8">
        <f t="shared" ref="J51:J53" si="20">A51</f>
        <v>44813</v>
      </c>
      <c r="K51" s="8">
        <f t="shared" ref="K51:K65" si="21">J51+360</f>
        <v>45173</v>
      </c>
      <c r="L51" s="10" t="s">
        <v>14</v>
      </c>
      <c r="M51" s="13" t="s">
        <v>18</v>
      </c>
    </row>
    <row r="52" spans="1:13" x14ac:dyDescent="0.25">
      <c r="A52" s="5">
        <f t="shared" si="14"/>
        <v>44814</v>
      </c>
      <c r="B52" s="6">
        <v>4444</v>
      </c>
      <c r="C52" s="6">
        <v>123456</v>
      </c>
      <c r="D52" s="6">
        <v>9001</v>
      </c>
      <c r="E52" s="7">
        <v>1000000</v>
      </c>
      <c r="F52" s="6" t="s">
        <v>6</v>
      </c>
      <c r="G52" s="6">
        <v>3.5</v>
      </c>
      <c r="H52" s="6">
        <v>311001</v>
      </c>
      <c r="I52" s="8">
        <v>45908</v>
      </c>
      <c r="J52" s="8">
        <f t="shared" si="20"/>
        <v>44814</v>
      </c>
      <c r="K52" s="8">
        <f t="shared" si="21"/>
        <v>45174</v>
      </c>
      <c r="L52" s="6" t="s">
        <v>13</v>
      </c>
      <c r="M52" s="9" t="s">
        <v>17</v>
      </c>
    </row>
    <row r="53" spans="1:13" x14ac:dyDescent="0.25">
      <c r="A53" s="5">
        <f t="shared" si="14"/>
        <v>44814</v>
      </c>
      <c r="B53" s="10">
        <v>4444</v>
      </c>
      <c r="C53" s="10">
        <v>123456</v>
      </c>
      <c r="D53" s="10">
        <v>9001</v>
      </c>
      <c r="E53" s="11">
        <v>1000000</v>
      </c>
      <c r="F53" s="10" t="s">
        <v>9</v>
      </c>
      <c r="G53" s="10">
        <v>47</v>
      </c>
      <c r="H53" s="10">
        <v>310030</v>
      </c>
      <c r="I53" s="12">
        <v>45908</v>
      </c>
      <c r="J53" s="8">
        <f t="shared" si="20"/>
        <v>44814</v>
      </c>
      <c r="K53" s="8">
        <f t="shared" si="21"/>
        <v>45174</v>
      </c>
      <c r="L53" s="10" t="s">
        <v>14</v>
      </c>
      <c r="M53" s="13" t="s">
        <v>18</v>
      </c>
    </row>
    <row r="54" spans="1:13" x14ac:dyDescent="0.25">
      <c r="A54" s="5">
        <f t="shared" si="14"/>
        <v>44815</v>
      </c>
      <c r="B54" s="6">
        <v>4444</v>
      </c>
      <c r="C54" s="6">
        <v>123456</v>
      </c>
      <c r="D54" s="6">
        <v>9001</v>
      </c>
      <c r="E54" s="7">
        <v>1000000</v>
      </c>
      <c r="F54" s="6" t="s">
        <v>6</v>
      </c>
      <c r="G54" s="6">
        <v>3.5</v>
      </c>
      <c r="H54" s="6">
        <v>311001</v>
      </c>
      <c r="I54" s="8">
        <f>A54</f>
        <v>44815</v>
      </c>
      <c r="J54" s="8">
        <f>A54</f>
        <v>44815</v>
      </c>
      <c r="K54" s="8">
        <f t="shared" si="21"/>
        <v>45175</v>
      </c>
      <c r="L54" s="6" t="s">
        <v>13</v>
      </c>
      <c r="M54" s="9" t="s">
        <v>17</v>
      </c>
    </row>
    <row r="55" spans="1:13" x14ac:dyDescent="0.25">
      <c r="A55" s="5">
        <f t="shared" si="14"/>
        <v>44815</v>
      </c>
      <c r="B55" s="10">
        <v>4444</v>
      </c>
      <c r="C55" s="10">
        <v>123456</v>
      </c>
      <c r="D55" s="10">
        <v>9001</v>
      </c>
      <c r="E55" s="11">
        <v>1000000</v>
      </c>
      <c r="F55" s="10" t="s">
        <v>9</v>
      </c>
      <c r="G55" s="10">
        <v>47</v>
      </c>
      <c r="H55" s="10">
        <v>310030</v>
      </c>
      <c r="I55" s="12">
        <v>45908</v>
      </c>
      <c r="J55" s="8">
        <f t="shared" ref="J55:J57" si="22">A55</f>
        <v>44815</v>
      </c>
      <c r="K55" s="8">
        <f t="shared" si="21"/>
        <v>45175</v>
      </c>
      <c r="L55" s="10" t="s">
        <v>14</v>
      </c>
      <c r="M55" s="13" t="s">
        <v>18</v>
      </c>
    </row>
    <row r="56" spans="1:13" x14ac:dyDescent="0.25">
      <c r="A56" s="5">
        <f t="shared" si="14"/>
        <v>44816</v>
      </c>
      <c r="B56" s="6">
        <v>4444</v>
      </c>
      <c r="C56" s="6">
        <v>123456</v>
      </c>
      <c r="D56" s="6">
        <v>9001</v>
      </c>
      <c r="E56" s="7">
        <v>1000000</v>
      </c>
      <c r="F56" s="6" t="s">
        <v>6</v>
      </c>
      <c r="G56" s="6">
        <v>3.5</v>
      </c>
      <c r="H56" s="6">
        <v>311001</v>
      </c>
      <c r="I56" s="8">
        <v>45908</v>
      </c>
      <c r="J56" s="8">
        <f t="shared" si="22"/>
        <v>44816</v>
      </c>
      <c r="K56" s="8">
        <f t="shared" si="21"/>
        <v>45176</v>
      </c>
      <c r="L56" s="6" t="s">
        <v>13</v>
      </c>
      <c r="M56" s="9" t="s">
        <v>17</v>
      </c>
    </row>
    <row r="57" spans="1:13" x14ac:dyDescent="0.25">
      <c r="A57" s="5">
        <f t="shared" si="14"/>
        <v>44816</v>
      </c>
      <c r="B57" s="10">
        <v>4444</v>
      </c>
      <c r="C57" s="10">
        <v>123456</v>
      </c>
      <c r="D57" s="10">
        <v>9001</v>
      </c>
      <c r="E57" s="11">
        <v>1000000</v>
      </c>
      <c r="F57" s="10" t="s">
        <v>9</v>
      </c>
      <c r="G57" s="10">
        <v>47</v>
      </c>
      <c r="H57" s="10">
        <v>310030</v>
      </c>
      <c r="I57" s="12">
        <v>45908</v>
      </c>
      <c r="J57" s="8">
        <f t="shared" si="22"/>
        <v>44816</v>
      </c>
      <c r="K57" s="8">
        <f t="shared" si="21"/>
        <v>45176</v>
      </c>
      <c r="L57" s="10" t="s">
        <v>14</v>
      </c>
      <c r="M57" s="13" t="s">
        <v>18</v>
      </c>
    </row>
    <row r="58" spans="1:13" x14ac:dyDescent="0.25">
      <c r="A58" s="5">
        <f t="shared" si="14"/>
        <v>44817</v>
      </c>
      <c r="B58" s="6">
        <v>4444</v>
      </c>
      <c r="C58" s="6">
        <v>123456</v>
      </c>
      <c r="D58" s="6">
        <v>9001</v>
      </c>
      <c r="E58" s="7">
        <v>1000000</v>
      </c>
      <c r="F58" s="6" t="s">
        <v>6</v>
      </c>
      <c r="G58" s="6">
        <v>3.5</v>
      </c>
      <c r="H58" s="6">
        <v>311001</v>
      </c>
      <c r="I58" s="8">
        <f>A58</f>
        <v>44817</v>
      </c>
      <c r="J58" s="8">
        <f>A58</f>
        <v>44817</v>
      </c>
      <c r="K58" s="8">
        <f t="shared" si="21"/>
        <v>45177</v>
      </c>
      <c r="L58" s="6" t="s">
        <v>13</v>
      </c>
      <c r="M58" s="9" t="s">
        <v>17</v>
      </c>
    </row>
    <row r="59" spans="1:13" x14ac:dyDescent="0.25">
      <c r="A59" s="5">
        <f t="shared" si="14"/>
        <v>44817</v>
      </c>
      <c r="B59" s="10">
        <v>4444</v>
      </c>
      <c r="C59" s="10">
        <v>123456</v>
      </c>
      <c r="D59" s="10">
        <v>9001</v>
      </c>
      <c r="E59" s="11">
        <v>1000000</v>
      </c>
      <c r="F59" s="10" t="s">
        <v>9</v>
      </c>
      <c r="G59" s="10">
        <v>47</v>
      </c>
      <c r="H59" s="10">
        <v>310030</v>
      </c>
      <c r="I59" s="12">
        <v>45908</v>
      </c>
      <c r="J59" s="8">
        <f t="shared" ref="J59:J61" si="23">A59</f>
        <v>44817</v>
      </c>
      <c r="K59" s="8">
        <f t="shared" si="21"/>
        <v>45177</v>
      </c>
      <c r="L59" s="10" t="s">
        <v>14</v>
      </c>
      <c r="M59" s="13" t="s">
        <v>18</v>
      </c>
    </row>
    <row r="60" spans="1:13" x14ac:dyDescent="0.25">
      <c r="A60" s="5">
        <f t="shared" si="14"/>
        <v>44818</v>
      </c>
      <c r="B60" s="6">
        <v>4444</v>
      </c>
      <c r="C60" s="6">
        <v>123456</v>
      </c>
      <c r="D60" s="6">
        <v>9001</v>
      </c>
      <c r="E60" s="7">
        <v>1000000</v>
      </c>
      <c r="F60" s="6" t="s">
        <v>6</v>
      </c>
      <c r="G60" s="6">
        <v>3.5</v>
      </c>
      <c r="H60" s="6">
        <v>311001</v>
      </c>
      <c r="I60" s="8">
        <v>45908</v>
      </c>
      <c r="J60" s="8">
        <f t="shared" si="23"/>
        <v>44818</v>
      </c>
      <c r="K60" s="8">
        <f t="shared" si="21"/>
        <v>45178</v>
      </c>
      <c r="L60" s="6" t="s">
        <v>13</v>
      </c>
      <c r="M60" s="9" t="s">
        <v>17</v>
      </c>
    </row>
    <row r="61" spans="1:13" x14ac:dyDescent="0.25">
      <c r="A61" s="5">
        <f t="shared" si="14"/>
        <v>44818</v>
      </c>
      <c r="B61" s="10">
        <v>4444</v>
      </c>
      <c r="C61" s="10">
        <v>123456</v>
      </c>
      <c r="D61" s="10">
        <v>9001</v>
      </c>
      <c r="E61" s="11">
        <v>1000000</v>
      </c>
      <c r="F61" s="10" t="s">
        <v>9</v>
      </c>
      <c r="G61" s="10">
        <v>47</v>
      </c>
      <c r="H61" s="10">
        <v>310030</v>
      </c>
      <c r="I61" s="12">
        <v>45908</v>
      </c>
      <c r="J61" s="8">
        <f t="shared" si="23"/>
        <v>44818</v>
      </c>
      <c r="K61" s="8">
        <f t="shared" si="21"/>
        <v>45178</v>
      </c>
      <c r="L61" s="10" t="s">
        <v>14</v>
      </c>
      <c r="M61" s="13" t="s">
        <v>18</v>
      </c>
    </row>
    <row r="62" spans="1:13" x14ac:dyDescent="0.25">
      <c r="A62" s="5">
        <f t="shared" si="14"/>
        <v>44819</v>
      </c>
      <c r="B62" s="6">
        <v>4444</v>
      </c>
      <c r="C62" s="6">
        <v>123456</v>
      </c>
      <c r="D62" s="6">
        <v>9001</v>
      </c>
      <c r="E62" s="7">
        <v>1000000</v>
      </c>
      <c r="F62" s="6" t="s">
        <v>6</v>
      </c>
      <c r="G62" s="6">
        <v>3.5</v>
      </c>
      <c r="H62" s="6">
        <v>311001</v>
      </c>
      <c r="I62" s="8">
        <f>A62</f>
        <v>44819</v>
      </c>
      <c r="J62" s="8">
        <f>A62</f>
        <v>44819</v>
      </c>
      <c r="K62" s="8">
        <f t="shared" si="21"/>
        <v>45179</v>
      </c>
      <c r="L62" s="6" t="s">
        <v>13</v>
      </c>
      <c r="M62" s="9" t="s">
        <v>17</v>
      </c>
    </row>
    <row r="63" spans="1:13" x14ac:dyDescent="0.25">
      <c r="A63" s="5">
        <f t="shared" si="14"/>
        <v>44819</v>
      </c>
      <c r="B63" s="10">
        <v>4444</v>
      </c>
      <c r="C63" s="10">
        <v>123456</v>
      </c>
      <c r="D63" s="10">
        <v>9001</v>
      </c>
      <c r="E63" s="11">
        <v>1000000</v>
      </c>
      <c r="F63" s="10" t="s">
        <v>9</v>
      </c>
      <c r="G63" s="10">
        <v>47</v>
      </c>
      <c r="H63" s="10">
        <v>310030</v>
      </c>
      <c r="I63" s="12">
        <v>45908</v>
      </c>
      <c r="J63" s="8">
        <f t="shared" ref="J63:J65" si="24">A63</f>
        <v>44819</v>
      </c>
      <c r="K63" s="8">
        <f t="shared" si="21"/>
        <v>45179</v>
      </c>
      <c r="L63" s="10" t="s">
        <v>14</v>
      </c>
      <c r="M63" s="13" t="s">
        <v>18</v>
      </c>
    </row>
    <row r="64" spans="1:13" x14ac:dyDescent="0.25">
      <c r="A64" s="5">
        <f t="shared" si="14"/>
        <v>44820</v>
      </c>
      <c r="B64" s="6">
        <v>4444</v>
      </c>
      <c r="C64" s="6">
        <v>123456</v>
      </c>
      <c r="D64" s="6">
        <v>9001</v>
      </c>
      <c r="E64" s="7">
        <v>1000000</v>
      </c>
      <c r="F64" s="6" t="s">
        <v>6</v>
      </c>
      <c r="G64" s="6">
        <v>3.5</v>
      </c>
      <c r="H64" s="6">
        <v>311001</v>
      </c>
      <c r="I64" s="8">
        <v>45908</v>
      </c>
      <c r="J64" s="8">
        <f t="shared" si="24"/>
        <v>44820</v>
      </c>
      <c r="K64" s="8">
        <f t="shared" si="21"/>
        <v>45180</v>
      </c>
      <c r="L64" s="6" t="s">
        <v>13</v>
      </c>
      <c r="M64" s="9" t="s">
        <v>17</v>
      </c>
    </row>
    <row r="65" spans="1:13" x14ac:dyDescent="0.25">
      <c r="A65" s="5">
        <f t="shared" si="14"/>
        <v>44820</v>
      </c>
      <c r="B65" s="10">
        <v>4444</v>
      </c>
      <c r="C65" s="10">
        <v>123456</v>
      </c>
      <c r="D65" s="10">
        <v>9001</v>
      </c>
      <c r="E65" s="11">
        <v>1000000</v>
      </c>
      <c r="F65" s="10" t="s">
        <v>9</v>
      </c>
      <c r="G65" s="10">
        <v>47</v>
      </c>
      <c r="H65" s="10">
        <v>310030</v>
      </c>
      <c r="I65" s="12">
        <v>45908</v>
      </c>
      <c r="J65" s="8">
        <f t="shared" si="24"/>
        <v>44820</v>
      </c>
      <c r="K65" s="8">
        <f t="shared" si="21"/>
        <v>45180</v>
      </c>
      <c r="L65" s="10" t="s">
        <v>14</v>
      </c>
      <c r="M65" s="13" t="s">
        <v>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CORE_DEPOSIT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atakan asd</cp:lastModifiedBy>
  <dcterms:created xsi:type="dcterms:W3CDTF">2025-09-08T07:04:57Z</dcterms:created>
  <dcterms:modified xsi:type="dcterms:W3CDTF">2025-11-11T12:40:26Z</dcterms:modified>
</cp:coreProperties>
</file>